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9200" windowHeight="6735"/>
  </bookViews>
  <sheets>
    <sheet name="Open SAP Model" sheetId="1" r:id="rId1"/>
    <sheet name="Define Scoring Criteria" sheetId="3" r:id="rId2"/>
    <sheet name="Overall Score History" sheetId="6" r:id="rId3"/>
    <sheet name="List Ref" sheetId="4" r:id="rId4"/>
  </sheets>
  <functionGroups/>
  <calcPr calcId="125725"/>
</workbook>
</file>

<file path=xl/calcChain.xml><?xml version="1.0" encoding="utf-8"?>
<calcChain xmlns="http://schemas.openxmlformats.org/spreadsheetml/2006/main">
  <c r="G41" i="3"/>
  <c r="U5" i="6"/>
  <c r="Q6"/>
  <c r="BL6" s="1"/>
  <c r="U6"/>
  <c r="L6"/>
  <c r="K5"/>
  <c r="J5"/>
  <c r="I5"/>
  <c r="G25" i="3" l="1"/>
  <c r="G26"/>
  <c r="G27"/>
  <c r="G28"/>
  <c r="G29"/>
  <c r="G30"/>
  <c r="G31"/>
  <c r="G32"/>
  <c r="G33"/>
  <c r="G34"/>
  <c r="G35"/>
  <c r="G36"/>
  <c r="G37"/>
  <c r="G38"/>
  <c r="G39"/>
  <c r="G40"/>
  <c r="G24"/>
  <c r="BX6" i="6" l="1"/>
  <c r="H5" l="1"/>
  <c r="G6"/>
  <c r="CM6" s="1"/>
  <c r="CY5"/>
  <c r="CX5"/>
  <c r="CW5"/>
  <c r="CV5"/>
  <c r="CU5"/>
  <c r="CT5"/>
  <c r="CS5"/>
  <c r="CR5"/>
  <c r="CQ5"/>
  <c r="CP5"/>
  <c r="CO5"/>
  <c r="CN5"/>
  <c r="CK5"/>
  <c r="CJ5"/>
  <c r="CI5"/>
  <c r="CH5"/>
  <c r="CG5"/>
  <c r="CF5"/>
  <c r="CE5"/>
  <c r="CD5"/>
  <c r="CC5"/>
  <c r="CB5"/>
  <c r="CA5"/>
  <c r="BZ5"/>
  <c r="BW5"/>
  <c r="BV5"/>
  <c r="BU5"/>
  <c r="BT5"/>
  <c r="BS5"/>
  <c r="BR5"/>
  <c r="BQ5"/>
  <c r="BP5"/>
  <c r="BO5"/>
  <c r="BN5"/>
  <c r="BM5"/>
  <c r="BL5"/>
  <c r="BI6"/>
  <c r="BW6" s="1"/>
  <c r="BE6"/>
  <c r="BV6" s="1"/>
  <c r="BA6"/>
  <c r="BU6" s="1"/>
  <c r="AW6"/>
  <c r="BT6" s="1"/>
  <c r="AS6"/>
  <c r="BS6" s="1"/>
  <c r="AO6"/>
  <c r="BR6" s="1"/>
  <c r="AK6"/>
  <c r="BQ6" s="1"/>
  <c r="AG6"/>
  <c r="BP6" s="1"/>
  <c r="AC6"/>
  <c r="BO6" s="1"/>
  <c r="BM6"/>
  <c r="Y6"/>
  <c r="BN6" s="1"/>
  <c r="BI5"/>
  <c r="BG5" s="1" a="1"/>
  <c r="BG5" s="1"/>
  <c r="BE5"/>
  <c r="BB5" s="1" a="1"/>
  <c r="BB5" s="1"/>
  <c r="BA5"/>
  <c r="AX5" s="1" a="1"/>
  <c r="AX5" s="1"/>
  <c r="AW5"/>
  <c r="AV5" s="1" a="1"/>
  <c r="AV5" s="1"/>
  <c r="AS5"/>
  <c r="AQ5" s="1" a="1"/>
  <c r="AQ5" s="1"/>
  <c r="AO5"/>
  <c r="AL5" s="1" a="1"/>
  <c r="AL5" s="1"/>
  <c r="AK5"/>
  <c r="AH5" s="1" a="1"/>
  <c r="AH5" s="1"/>
  <c r="AG5"/>
  <c r="AF5" s="1" a="1"/>
  <c r="AF5" s="1"/>
  <c r="AC5"/>
  <c r="AA5" s="1" a="1"/>
  <c r="AA5" s="1"/>
  <c r="Y5"/>
  <c r="V5" s="1" a="1"/>
  <c r="V5" s="1"/>
  <c r="T5" a="1"/>
  <c r="T5" s="1"/>
  <c r="Q5"/>
  <c r="N5" s="1" a="1"/>
  <c r="N5" s="1"/>
  <c r="BY6"/>
  <c r="O5" l="1" a="1"/>
  <c r="O5" s="1"/>
  <c r="CH6"/>
  <c r="CV6" s="1"/>
  <c r="CJ6"/>
  <c r="CX6" s="1"/>
  <c r="CC6"/>
  <c r="CQ6" s="1"/>
  <c r="CG6"/>
  <c r="CU6" s="1"/>
  <c r="CK6"/>
  <c r="CY6" s="1"/>
  <c r="BZ6"/>
  <c r="CN6" s="1"/>
  <c r="CF6"/>
  <c r="CT6" s="1"/>
  <c r="CB6"/>
  <c r="CP6" s="1"/>
  <c r="CD6"/>
  <c r="CR6" s="1"/>
  <c r="CA6"/>
  <c r="CO6" s="1"/>
  <c r="CI6"/>
  <c r="CW6" s="1"/>
  <c r="CE6"/>
  <c r="CS6" s="1"/>
  <c r="CL6"/>
  <c r="CZ6" s="1"/>
  <c r="AD5" a="1"/>
  <c r="AD5" s="1"/>
  <c r="X5" a="1"/>
  <c r="X5" s="1"/>
  <c r="W5" a="1"/>
  <c r="W5" s="1"/>
  <c r="S5" a="1"/>
  <c r="S5" s="1"/>
  <c r="R5" a="1"/>
  <c r="R5" s="1"/>
  <c r="P5" a="1"/>
  <c r="P5" s="1"/>
  <c r="Z5" a="1"/>
  <c r="Z5" s="1"/>
  <c r="AE5" a="1"/>
  <c r="AE5" s="1"/>
  <c r="AJ5" a="1"/>
  <c r="AJ5" s="1"/>
  <c r="AP5" a="1"/>
  <c r="AP5" s="1"/>
  <c r="AU5" a="1"/>
  <c r="AU5" s="1"/>
  <c r="AZ5" a="1"/>
  <c r="AZ5" s="1"/>
  <c r="BF5" a="1"/>
  <c r="BF5" s="1"/>
  <c r="AI5" a="1"/>
  <c r="AI5" s="1"/>
  <c r="AN5" a="1"/>
  <c r="AN5" s="1"/>
  <c r="AT5" a="1"/>
  <c r="AT5" s="1"/>
  <c r="AY5" a="1"/>
  <c r="AY5" s="1"/>
  <c r="BD5" a="1"/>
  <c r="BD5" s="1"/>
  <c r="AB5" a="1"/>
  <c r="AB5" s="1"/>
  <c r="AM5" a="1"/>
  <c r="AM5" s="1"/>
  <c r="AR5" a="1"/>
  <c r="AR5" s="1"/>
  <c r="BC5" a="1"/>
  <c r="BC5" s="1"/>
  <c r="BH5" a="1"/>
  <c r="BH5" s="1"/>
</calcChain>
</file>

<file path=xl/sharedStrings.xml><?xml version="1.0" encoding="utf-8"?>
<sst xmlns="http://schemas.openxmlformats.org/spreadsheetml/2006/main" count="407" uniqueCount="167">
  <si>
    <t>Model:</t>
  </si>
  <si>
    <t>Directory:</t>
  </si>
  <si>
    <t>Point Name</t>
  </si>
  <si>
    <t>Case ID</t>
  </si>
  <si>
    <t>Case Name</t>
  </si>
  <si>
    <t>Case1</t>
  </si>
  <si>
    <t>Defl. ID</t>
  </si>
  <si>
    <t>Combo Start</t>
  </si>
  <si>
    <t>Combo End</t>
  </si>
  <si>
    <t>Point Names</t>
  </si>
  <si>
    <t>Combo Names</t>
  </si>
  <si>
    <t>Combo_Case1Step0</t>
  </si>
  <si>
    <t>Combo_Case1Step2</t>
  </si>
  <si>
    <t>Combo_Case2Step0</t>
  </si>
  <si>
    <t>Combo_Case2Step2</t>
  </si>
  <si>
    <t>Combo_Case3Step0</t>
  </si>
  <si>
    <t>Combo_Case3Step2</t>
  </si>
  <si>
    <t>Combo_Case4Step0</t>
  </si>
  <si>
    <t>Combo_Case4Step2</t>
  </si>
  <si>
    <t>Combo_Case5Step0</t>
  </si>
  <si>
    <t>Combo_Case5Step2</t>
  </si>
  <si>
    <t>Combo_Case6Step0</t>
  </si>
  <si>
    <t>Combo_Case6Step2</t>
  </si>
  <si>
    <t>Deflection Cost Multiplier:</t>
  </si>
  <si>
    <t>Weight Cost Multiplier:</t>
  </si>
  <si>
    <t>$/in</t>
  </si>
  <si>
    <t>$/lb</t>
  </si>
  <si>
    <t>Group Names</t>
  </si>
  <si>
    <t>Vertical Deflection Measurements</t>
  </si>
  <si>
    <t>Vertical Load Cases</t>
  </si>
  <si>
    <t>Lateral Load Cases</t>
  </si>
  <si>
    <t>Lateral Deflection Measurements</t>
  </si>
  <si>
    <t>Total number of lateral cases:</t>
  </si>
  <si>
    <t>Total number of lateral deflection measurements:</t>
  </si>
  <si>
    <t>Total number of vertical deflection measurements:</t>
  </si>
  <si>
    <t>Total number of vertical cases:</t>
  </si>
  <si>
    <t>Max Vertical Deflection:</t>
  </si>
  <si>
    <t>Max Lateral Deflection:</t>
  </si>
  <si>
    <t>in</t>
  </si>
  <si>
    <t># Builders</t>
  </si>
  <si>
    <t># Runners</t>
  </si>
  <si>
    <t># Bargers</t>
  </si>
  <si>
    <t># Members</t>
  </si>
  <si>
    <t># Bolts</t>
  </si>
  <si>
    <t>Construction Time (mins)</t>
  </si>
  <si>
    <t>Lateral Deflection (in)</t>
  </si>
  <si>
    <t>Avg. Aggregate Deflection (in)</t>
  </si>
  <si>
    <t>Total Weight (lbs)</t>
  </si>
  <si>
    <t>Avg. Defl. Score ($)</t>
  </si>
  <si>
    <t>Weight Score ($)</t>
  </si>
  <si>
    <t>Avg. Efficiency Score ($)</t>
  </si>
  <si>
    <t>Economy Est. ($)</t>
  </si>
  <si>
    <t>Avg. Overall Score ($)</t>
  </si>
  <si>
    <t>Version Notes/Changes:</t>
  </si>
  <si>
    <t>Time Per Bolt:</t>
  </si>
  <si>
    <t>Time Per Member:</t>
  </si>
  <si>
    <t>Base Time:</t>
  </si>
  <si>
    <t>min</t>
  </si>
  <si>
    <t>Construction Cost Multiplier:</t>
  </si>
  <si>
    <t>$/bldr/min</t>
  </si>
  <si>
    <t>Deflection (in)</t>
  </si>
  <si>
    <t>Aggregate (in)</t>
  </si>
  <si>
    <t>Defl. Score ($)</t>
  </si>
  <si>
    <t>Efficiency ($)</t>
  </si>
  <si>
    <t>Overall ($)</t>
  </si>
  <si>
    <r>
      <t xml:space="preserve">Template </t>
    </r>
    <r>
      <rPr>
        <sz val="11"/>
        <color rgb="FFFF0000"/>
        <rFont val="Calibri"/>
        <family val="2"/>
        <scheme val="minor"/>
      </rPr>
      <t>(DO NOT ERASE)</t>
    </r>
  </si>
  <si>
    <t>Lat. Defl. (in)</t>
  </si>
  <si>
    <t>Direction</t>
  </si>
  <si>
    <t>X</t>
  </si>
  <si>
    <t>Y</t>
  </si>
  <si>
    <t>Notes</t>
  </si>
  <si>
    <t>Number of Failing Members</t>
  </si>
  <si>
    <t>Design File Name</t>
  </si>
  <si>
    <t>ALL</t>
  </si>
  <si>
    <t>Chords</t>
  </si>
  <si>
    <t>Version:</t>
  </si>
  <si>
    <t>If you encounter any difficulties or find that something isn't working properly, please contact:</t>
  </si>
  <si>
    <t>Brian Giffin</t>
  </si>
  <si>
    <t>bdgiffin@ucdavis.edu</t>
  </si>
  <si>
    <t>S1DA</t>
  </si>
  <si>
    <t>S2DA</t>
  </si>
  <si>
    <t>S3DA</t>
  </si>
  <si>
    <t>S4DA</t>
  </si>
  <si>
    <t>S5DA</t>
  </si>
  <si>
    <t>S6DA</t>
  </si>
  <si>
    <t>S1DB</t>
  </si>
  <si>
    <t>S2DB</t>
  </si>
  <si>
    <t>S3DB</t>
  </si>
  <si>
    <t>S4DB</t>
  </si>
  <si>
    <t>S5DB</t>
  </si>
  <si>
    <t>S6DB</t>
  </si>
  <si>
    <t>SXDB</t>
  </si>
  <si>
    <t>DL</t>
  </si>
  <si>
    <t>LDL</t>
  </si>
  <si>
    <t>Combo_LateralPreLoad</t>
  </si>
  <si>
    <t>Combo_LateralPull</t>
  </si>
  <si>
    <t>Combo_LCase1Step0</t>
  </si>
  <si>
    <t>Combo_LCase1Step2</t>
  </si>
  <si>
    <t>Combo_LCase2Step0</t>
  </si>
  <si>
    <t>Combo_LCase2Step2</t>
  </si>
  <si>
    <t>Combo_LCase3Step0</t>
  </si>
  <si>
    <t>Combo_LCase3Step2</t>
  </si>
  <si>
    <t>Combo_LCase4Step0</t>
  </si>
  <si>
    <t>Combo_LCase4Step2</t>
  </si>
  <si>
    <t>Combo_LCase5Step0</t>
  </si>
  <si>
    <t>Combo_LCase5Step2</t>
  </si>
  <si>
    <t>Combo_LCase6Step0</t>
  </si>
  <si>
    <t>Combo_LCase6Step2</t>
  </si>
  <si>
    <t>Case2</t>
  </si>
  <si>
    <t>Case3</t>
  </si>
  <si>
    <t>Case4</t>
  </si>
  <si>
    <t>Case5</t>
  </si>
  <si>
    <t>Case6</t>
  </si>
  <si>
    <t>LCase1</t>
  </si>
  <si>
    <t>LCase2</t>
  </si>
  <si>
    <t>LCase3</t>
  </si>
  <si>
    <t>LCase4</t>
  </si>
  <si>
    <t>LCase5</t>
  </si>
  <si>
    <t>LCase6</t>
  </si>
  <si>
    <t>Combo_LLateralPreLoad</t>
  </si>
  <si>
    <t>Combo_LLateralPull</t>
  </si>
  <si>
    <t>LS1DA</t>
  </si>
  <si>
    <t>LS2DA</t>
  </si>
  <si>
    <t>LS3DA</t>
  </si>
  <si>
    <t>LS4DA</t>
  </si>
  <si>
    <t>LS5DA</t>
  </si>
  <si>
    <t>LS6DA</t>
  </si>
  <si>
    <t>LS1DB</t>
  </si>
  <si>
    <t>LS2DB</t>
  </si>
  <si>
    <t>LS3DB</t>
  </si>
  <si>
    <t>LS4DB</t>
  </si>
  <si>
    <t>LS5DB</t>
  </si>
  <si>
    <t>LS6DB</t>
  </si>
  <si>
    <t>LSXDB</t>
  </si>
  <si>
    <t>Combo_Case1Step1</t>
  </si>
  <si>
    <t>Combo_Case2Step1</t>
  </si>
  <si>
    <t>Combo_Case3Step1</t>
  </si>
  <si>
    <t>Combo_Case4Step1</t>
  </si>
  <si>
    <t>Combo_Case5Step1</t>
  </si>
  <si>
    <t>Combo_Case6Step1</t>
  </si>
  <si>
    <t>Combo_LCase1Step1</t>
  </si>
  <si>
    <t>Combo_LCase2Step1</t>
  </si>
  <si>
    <t>Combo_LCase3Step1</t>
  </si>
  <si>
    <t>Combo_LCase4Step1</t>
  </si>
  <si>
    <t>Combo_LCase5Step1</t>
  </si>
  <si>
    <t>Combo_LCase6Step1</t>
  </si>
  <si>
    <t>Tendons</t>
  </si>
  <si>
    <t>Legs</t>
  </si>
  <si>
    <t>C:\Users\Minh\Documents\SAP\</t>
  </si>
  <si>
    <t>Overtruss 3.0.2.sdb</t>
  </si>
  <si>
    <t>Decking Surface</t>
  </si>
  <si>
    <t>Top Laterals</t>
  </si>
  <si>
    <t>Load Surface</t>
  </si>
  <si>
    <t>Laterals</t>
  </si>
  <si>
    <t>Lateral Webbings</t>
  </si>
  <si>
    <t>Load Surface Webbings</t>
  </si>
  <si>
    <t>Load Surface Horizontal Support</t>
  </si>
  <si>
    <t>Decking Surface Slanted Webbings</t>
  </si>
  <si>
    <t>Middle Lateral</t>
  </si>
  <si>
    <t>Load Surface Vertical Support</t>
  </si>
  <si>
    <t>Decking Surface Vertical Webbing</t>
  </si>
  <si>
    <t>Decking Surface Horizontal Webbing</t>
  </si>
  <si>
    <t>Lateral1</t>
  </si>
  <si>
    <t>Lateral2</t>
  </si>
  <si>
    <t>LLateral1</t>
  </si>
  <si>
    <t>LLateral2</t>
  </si>
  <si>
    <t>16.9.12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</si>
</sst>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&quot;$&quot;#,##0.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Fixedsys"/>
      <family val="3"/>
    </font>
    <font>
      <u/>
      <sz val="11"/>
      <color theme="10"/>
      <name val="Calibri"/>
      <family val="2"/>
    </font>
    <font>
      <sz val="10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0" borderId="2" xfId="0" applyFont="1" applyBorder="1"/>
    <xf numFmtId="0" fontId="1" fillId="0" borderId="1" xfId="0" applyFont="1" applyBorder="1"/>
    <xf numFmtId="0" fontId="0" fillId="0" borderId="3" xfId="0" applyBorder="1"/>
    <xf numFmtId="0" fontId="2" fillId="0" borderId="0" xfId="0" applyFont="1"/>
    <xf numFmtId="0" fontId="2" fillId="0" borderId="0" xfId="0" applyFont="1" applyBorder="1"/>
    <xf numFmtId="0" fontId="0" fillId="2" borderId="0" xfId="0" applyFill="1"/>
    <xf numFmtId="0" fontId="0" fillId="2" borderId="0" xfId="0" quotePrefix="1" applyFill="1"/>
    <xf numFmtId="0" fontId="2" fillId="0" borderId="1" xfId="0" applyFont="1" applyBorder="1"/>
    <xf numFmtId="0" fontId="2" fillId="0" borderId="4" xfId="0" applyFont="1" applyBorder="1"/>
    <xf numFmtId="2" fontId="0" fillId="0" borderId="0" xfId="0" applyNumberFormat="1"/>
    <xf numFmtId="0" fontId="0" fillId="0" borderId="0" xfId="0" applyBorder="1"/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/>
    </xf>
    <xf numFmtId="0" fontId="0" fillId="3" borderId="6" xfId="0" applyFill="1" applyBorder="1" applyAlignment="1">
      <alignment horizontal="center" wrapText="1"/>
    </xf>
    <xf numFmtId="0" fontId="0" fillId="3" borderId="1" xfId="0" applyFill="1" applyBorder="1"/>
    <xf numFmtId="0" fontId="3" fillId="0" borderId="0" xfId="0" applyFont="1"/>
    <xf numFmtId="0" fontId="4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3" borderId="7" xfId="0" applyFill="1" applyBorder="1"/>
    <xf numFmtId="0" fontId="0" fillId="4" borderId="5" xfId="0" applyFill="1" applyBorder="1" applyAlignment="1">
      <alignment horizontal="center" wrapText="1"/>
    </xf>
    <xf numFmtId="0" fontId="0" fillId="4" borderId="6" xfId="0" applyFill="1" applyBorder="1" applyAlignment="1">
      <alignment horizontal="center" wrapText="1"/>
    </xf>
    <xf numFmtId="0" fontId="0" fillId="5" borderId="5" xfId="0" applyFill="1" applyBorder="1" applyAlignment="1">
      <alignment horizontal="center" wrapText="1"/>
    </xf>
    <xf numFmtId="0" fontId="0" fillId="5" borderId="6" xfId="0" applyFill="1" applyBorder="1" applyAlignment="1">
      <alignment horizontal="center" wrapText="1"/>
    </xf>
    <xf numFmtId="0" fontId="1" fillId="0" borderId="1" xfId="0" applyFont="1" applyFill="1" applyBorder="1"/>
    <xf numFmtId="0" fontId="0" fillId="3" borderId="5" xfId="0" applyFill="1" applyBorder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7" fillId="0" borderId="0" xfId="1" applyAlignment="1" applyProtection="1"/>
    <xf numFmtId="0" fontId="1" fillId="0" borderId="0" xfId="0" applyFont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1"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542925</xdr:colOff>
      <xdr:row>7</xdr:row>
      <xdr:rowOff>1350</xdr:rowOff>
    </xdr:from>
    <xdr:to>
      <xdr:col>7</xdr:col>
      <xdr:colOff>9525</xdr:colOff>
      <xdr:row>13</xdr:row>
      <xdr:rowOff>92865</xdr:rowOff>
    </xdr:to>
    <xdr:pic>
      <xdr:nvPicPr>
        <xdr:cNvPr id="3" name="Picture 2" descr="foreSCOREar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334850"/>
          <a:ext cx="4257675" cy="12345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dgiffin@ucdavis.edu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" Type="http://schemas.openxmlformats.org/officeDocument/2006/relationships/vmlDrawing" Target="../drawings/vmlDrawing2.v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E18"/>
  <sheetViews>
    <sheetView tabSelected="1" topLeftCell="A13" workbookViewId="0">
      <selection activeCell="E14" sqref="E14"/>
    </sheetView>
  </sheetViews>
  <sheetFormatPr defaultRowHeight="15"/>
  <cols>
    <col min="1" max="1" width="9.5703125" customWidth="1"/>
    <col min="2" max="2" width="23.28515625" customWidth="1"/>
    <col min="4" max="4" width="16.7109375" customWidth="1"/>
    <col min="5" max="19" width="15.28515625" customWidth="1"/>
  </cols>
  <sheetData>
    <row r="1" spans="1:5">
      <c r="D1" s="1"/>
    </row>
    <row r="2" spans="1:5">
      <c r="D2" s="1"/>
    </row>
    <row r="3" spans="1:5">
      <c r="D3" s="1"/>
    </row>
    <row r="4" spans="1:5">
      <c r="D4" s="1"/>
    </row>
    <row r="5" spans="1:5">
      <c r="D5" s="1"/>
    </row>
    <row r="6" spans="1:5">
      <c r="A6" t="s">
        <v>0</v>
      </c>
      <c r="B6" t="s">
        <v>149</v>
      </c>
    </row>
    <row r="7" spans="1:5">
      <c r="A7" t="s">
        <v>1</v>
      </c>
      <c r="B7" t="s">
        <v>148</v>
      </c>
    </row>
    <row r="13" spans="1:5">
      <c r="D13" s="29" t="s">
        <v>75</v>
      </c>
      <c r="E13" s="30" t="s">
        <v>166</v>
      </c>
    </row>
    <row r="16" spans="1:5">
      <c r="C16" t="s">
        <v>76</v>
      </c>
    </row>
    <row r="17" spans="3:3">
      <c r="C17" t="s">
        <v>77</v>
      </c>
    </row>
    <row r="18" spans="3:3">
      <c r="C18" s="31" t="s">
        <v>78</v>
      </c>
    </row>
  </sheetData>
  <hyperlinks>
    <hyperlink ref="C18" r:id="rId1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92D050"/>
  </sheetPr>
  <dimension ref="B2:Z41"/>
  <sheetViews>
    <sheetView workbookViewId="0">
      <selection activeCell="Q36" sqref="Q36"/>
    </sheetView>
  </sheetViews>
  <sheetFormatPr defaultRowHeight="15"/>
  <cols>
    <col min="1" max="1" width="10" customWidth="1"/>
    <col min="2" max="2" width="7.28515625" customWidth="1"/>
    <col min="3" max="3" width="10.5703125" customWidth="1"/>
    <col min="4" max="4" width="5.42578125" customWidth="1"/>
    <col min="5" max="5" width="9.7109375" customWidth="1"/>
    <col min="6" max="6" width="7.7109375" customWidth="1"/>
    <col min="7" max="7" width="14" customWidth="1"/>
    <col min="8" max="8" width="10.7109375" customWidth="1"/>
    <col min="9" max="9" width="20.42578125" customWidth="1"/>
    <col min="10" max="10" width="20.7109375" customWidth="1"/>
    <col min="11" max="11" width="5.7109375" customWidth="1"/>
    <col min="12" max="12" width="9.7109375" customWidth="1"/>
    <col min="13" max="13" width="11.5703125" customWidth="1"/>
    <col min="14" max="14" width="9.28515625" customWidth="1"/>
    <col min="15" max="15" width="10.5703125" customWidth="1"/>
    <col min="16" max="16" width="10.42578125" style="13" customWidth="1"/>
    <col min="17" max="17" width="7.42578125" style="13" customWidth="1"/>
    <col min="18" max="18" width="10.5703125" customWidth="1"/>
    <col min="19" max="19" width="4.42578125" customWidth="1"/>
    <col min="21" max="21" width="7.7109375" customWidth="1"/>
    <col min="22" max="22" width="11.42578125" customWidth="1"/>
    <col min="23" max="23" width="11.28515625" customWidth="1"/>
    <col min="24" max="24" width="23.5703125" customWidth="1"/>
    <col min="25" max="25" width="18.7109375" customWidth="1"/>
  </cols>
  <sheetData>
    <row r="2" spans="2:26">
      <c r="C2" s="2" t="s">
        <v>35</v>
      </c>
      <c r="D2" s="10">
        <v>12</v>
      </c>
      <c r="I2" s="2" t="s">
        <v>34</v>
      </c>
      <c r="J2" s="10">
        <v>36</v>
      </c>
      <c r="M2" s="2" t="s">
        <v>23</v>
      </c>
      <c r="N2" s="10">
        <v>1000000</v>
      </c>
      <c r="O2" t="s">
        <v>25</v>
      </c>
      <c r="P2"/>
      <c r="Q2"/>
      <c r="R2" s="2" t="s">
        <v>32</v>
      </c>
      <c r="S2" s="10">
        <v>4</v>
      </c>
      <c r="X2" s="2" t="s">
        <v>33</v>
      </c>
      <c r="Y2" s="10">
        <v>4</v>
      </c>
    </row>
    <row r="3" spans="2:26">
      <c r="D3" s="7"/>
      <c r="I3" s="2"/>
      <c r="J3" s="7"/>
      <c r="M3" s="2" t="s">
        <v>24</v>
      </c>
      <c r="N3" s="11">
        <v>10000</v>
      </c>
      <c r="O3" t="s">
        <v>26</v>
      </c>
    </row>
    <row r="4" spans="2:26">
      <c r="B4" s="32" t="s">
        <v>29</v>
      </c>
      <c r="C4" s="32"/>
      <c r="F4" s="32" t="s">
        <v>28</v>
      </c>
      <c r="G4" s="32"/>
      <c r="H4" s="32"/>
      <c r="I4" s="32"/>
      <c r="J4" s="32"/>
      <c r="Q4" s="32" t="s">
        <v>30</v>
      </c>
      <c r="R4" s="32"/>
      <c r="U4" s="32" t="s">
        <v>31</v>
      </c>
      <c r="V4" s="32"/>
      <c r="W4" s="32"/>
      <c r="X4" s="32"/>
      <c r="Y4" s="32"/>
    </row>
    <row r="5" spans="2:26">
      <c r="B5" s="3" t="s">
        <v>3</v>
      </c>
      <c r="C5" s="4" t="s">
        <v>4</v>
      </c>
      <c r="F5" s="3" t="s">
        <v>6</v>
      </c>
      <c r="G5" s="4" t="s">
        <v>2</v>
      </c>
      <c r="H5" s="4" t="s">
        <v>4</v>
      </c>
      <c r="I5" s="4" t="s">
        <v>7</v>
      </c>
      <c r="J5" s="4" t="s">
        <v>8</v>
      </c>
      <c r="M5" s="2" t="s">
        <v>36</v>
      </c>
      <c r="N5" s="10">
        <v>3</v>
      </c>
      <c r="O5" t="s">
        <v>38</v>
      </c>
      <c r="Q5" s="3" t="s">
        <v>3</v>
      </c>
      <c r="R5" s="4" t="s">
        <v>4</v>
      </c>
      <c r="U5" s="3" t="s">
        <v>6</v>
      </c>
      <c r="V5" s="4" t="s">
        <v>2</v>
      </c>
      <c r="W5" s="4" t="s">
        <v>4</v>
      </c>
      <c r="X5" s="4" t="s">
        <v>7</v>
      </c>
      <c r="Y5" s="4" t="s">
        <v>8</v>
      </c>
      <c r="Z5" s="27" t="s">
        <v>67</v>
      </c>
    </row>
    <row r="6" spans="2:26">
      <c r="B6" s="5">
        <v>1</v>
      </c>
      <c r="C6" s="6" t="s">
        <v>5</v>
      </c>
      <c r="F6" s="5">
        <v>1</v>
      </c>
      <c r="G6" s="6" t="s">
        <v>79</v>
      </c>
      <c r="H6" s="6" t="s">
        <v>5</v>
      </c>
      <c r="I6" s="6" t="s">
        <v>11</v>
      </c>
      <c r="J6" s="6" t="s">
        <v>12</v>
      </c>
      <c r="M6" s="2" t="s">
        <v>37</v>
      </c>
      <c r="N6" s="11">
        <v>1</v>
      </c>
      <c r="O6" t="s">
        <v>38</v>
      </c>
      <c r="Q6" s="5">
        <v>1</v>
      </c>
      <c r="R6" s="6" t="s">
        <v>162</v>
      </c>
      <c r="U6" s="5">
        <v>1</v>
      </c>
      <c r="V6" s="6" t="s">
        <v>92</v>
      </c>
      <c r="W6" s="6" t="s">
        <v>162</v>
      </c>
      <c r="X6" s="6" t="s">
        <v>94</v>
      </c>
      <c r="Y6" s="6" t="s">
        <v>95</v>
      </c>
      <c r="Z6" s="6" t="s">
        <v>69</v>
      </c>
    </row>
    <row r="7" spans="2:26">
      <c r="B7" s="5">
        <v>2</v>
      </c>
      <c r="C7" s="6" t="s">
        <v>108</v>
      </c>
      <c r="F7" s="5">
        <v>2</v>
      </c>
      <c r="G7" s="6" t="s">
        <v>91</v>
      </c>
      <c r="H7" s="6" t="s">
        <v>5</v>
      </c>
      <c r="I7" s="6" t="s">
        <v>11</v>
      </c>
      <c r="J7" s="6" t="s">
        <v>12</v>
      </c>
      <c r="Q7" s="5">
        <v>2</v>
      </c>
      <c r="R7" s="6" t="s">
        <v>163</v>
      </c>
      <c r="U7" s="5">
        <v>2</v>
      </c>
      <c r="V7" s="6" t="s">
        <v>92</v>
      </c>
      <c r="W7" s="6" t="s">
        <v>163</v>
      </c>
      <c r="X7" s="6" t="s">
        <v>94</v>
      </c>
      <c r="Y7" s="6" t="s">
        <v>95</v>
      </c>
      <c r="Z7" s="6" t="s">
        <v>69</v>
      </c>
    </row>
    <row r="8" spans="2:26">
      <c r="B8" s="5">
        <v>3</v>
      </c>
      <c r="C8" s="6" t="s">
        <v>109</v>
      </c>
      <c r="F8" s="5">
        <v>3</v>
      </c>
      <c r="G8" s="6" t="s">
        <v>85</v>
      </c>
      <c r="H8" s="6" t="s">
        <v>5</v>
      </c>
      <c r="I8" s="6" t="s">
        <v>11</v>
      </c>
      <c r="J8" s="6" t="s">
        <v>12</v>
      </c>
      <c r="P8"/>
      <c r="Q8" s="5">
        <v>3</v>
      </c>
      <c r="R8" s="6" t="s">
        <v>164</v>
      </c>
      <c r="U8" s="5">
        <v>3</v>
      </c>
      <c r="V8" s="6" t="s">
        <v>93</v>
      </c>
      <c r="W8" s="6" t="s">
        <v>164</v>
      </c>
      <c r="X8" s="6" t="s">
        <v>119</v>
      </c>
      <c r="Y8" s="6" t="s">
        <v>120</v>
      </c>
      <c r="Z8" s="6" t="s">
        <v>69</v>
      </c>
    </row>
    <row r="9" spans="2:26">
      <c r="B9" s="5">
        <v>4</v>
      </c>
      <c r="C9" s="6" t="s">
        <v>110</v>
      </c>
      <c r="F9" s="5">
        <v>4</v>
      </c>
      <c r="G9" s="6" t="s">
        <v>80</v>
      </c>
      <c r="H9" s="6" t="s">
        <v>108</v>
      </c>
      <c r="I9" s="6" t="s">
        <v>13</v>
      </c>
      <c r="J9" s="6" t="s">
        <v>14</v>
      </c>
      <c r="M9" s="2" t="s">
        <v>58</v>
      </c>
      <c r="N9" s="10">
        <v>50000</v>
      </c>
      <c r="O9" t="s">
        <v>59</v>
      </c>
      <c r="Q9" s="5">
        <v>4</v>
      </c>
      <c r="R9" s="6" t="s">
        <v>165</v>
      </c>
      <c r="U9" s="5">
        <v>4</v>
      </c>
      <c r="V9" s="6" t="s">
        <v>93</v>
      </c>
      <c r="W9" s="6" t="s">
        <v>165</v>
      </c>
      <c r="X9" s="6" t="s">
        <v>119</v>
      </c>
      <c r="Y9" s="6" t="s">
        <v>120</v>
      </c>
      <c r="Z9" s="6" t="s">
        <v>69</v>
      </c>
    </row>
    <row r="10" spans="2:26">
      <c r="B10" s="5">
        <v>5</v>
      </c>
      <c r="C10" s="6" t="s">
        <v>111</v>
      </c>
      <c r="F10" s="5">
        <v>5</v>
      </c>
      <c r="G10" s="6" t="s">
        <v>91</v>
      </c>
      <c r="H10" s="6" t="s">
        <v>108</v>
      </c>
      <c r="I10" s="6" t="s">
        <v>13</v>
      </c>
      <c r="J10" s="6" t="s">
        <v>14</v>
      </c>
      <c r="Q10"/>
    </row>
    <row r="11" spans="2:26">
      <c r="B11" s="5">
        <v>6</v>
      </c>
      <c r="C11" s="6" t="s">
        <v>112</v>
      </c>
      <c r="F11" s="5">
        <v>6</v>
      </c>
      <c r="G11" s="6" t="s">
        <v>86</v>
      </c>
      <c r="H11" s="6" t="s">
        <v>108</v>
      </c>
      <c r="I11" s="6" t="s">
        <v>13</v>
      </c>
      <c r="J11" s="6" t="s">
        <v>14</v>
      </c>
      <c r="M11" s="2" t="s">
        <v>56</v>
      </c>
      <c r="N11" s="10">
        <v>0</v>
      </c>
      <c r="O11" t="s">
        <v>57</v>
      </c>
      <c r="Q11"/>
    </row>
    <row r="12" spans="2:26">
      <c r="B12" s="5">
        <v>7</v>
      </c>
      <c r="C12" s="6" t="s">
        <v>113</v>
      </c>
      <c r="F12" s="5">
        <v>7</v>
      </c>
      <c r="G12" s="6" t="s">
        <v>81</v>
      </c>
      <c r="H12" s="6" t="s">
        <v>109</v>
      </c>
      <c r="I12" s="6" t="s">
        <v>15</v>
      </c>
      <c r="J12" s="6" t="s">
        <v>16</v>
      </c>
      <c r="M12" s="2" t="s">
        <v>55</v>
      </c>
      <c r="N12" s="10">
        <v>0.1</v>
      </c>
      <c r="O12" t="s">
        <v>57</v>
      </c>
      <c r="P12"/>
      <c r="Q12"/>
    </row>
    <row r="13" spans="2:26">
      <c r="B13" s="5">
        <v>8</v>
      </c>
      <c r="C13" s="6" t="s">
        <v>114</v>
      </c>
      <c r="F13" s="5">
        <v>8</v>
      </c>
      <c r="G13" s="6" t="s">
        <v>91</v>
      </c>
      <c r="H13" s="6" t="s">
        <v>109</v>
      </c>
      <c r="I13" s="6" t="s">
        <v>15</v>
      </c>
      <c r="J13" s="6" t="s">
        <v>16</v>
      </c>
      <c r="M13" s="2" t="s">
        <v>54</v>
      </c>
      <c r="N13" s="11">
        <v>0.05</v>
      </c>
      <c r="O13" t="s">
        <v>57</v>
      </c>
      <c r="P13"/>
      <c r="Q13"/>
    </row>
    <row r="14" spans="2:26">
      <c r="B14" s="5">
        <v>9</v>
      </c>
      <c r="C14" s="6" t="s">
        <v>115</v>
      </c>
      <c r="F14" s="5">
        <v>9</v>
      </c>
      <c r="G14" s="6" t="s">
        <v>87</v>
      </c>
      <c r="H14" s="6" t="s">
        <v>109</v>
      </c>
      <c r="I14" s="6" t="s">
        <v>15</v>
      </c>
      <c r="J14" s="6" t="s">
        <v>16</v>
      </c>
      <c r="P14"/>
      <c r="Q14"/>
    </row>
    <row r="15" spans="2:26">
      <c r="B15" s="5">
        <v>10</v>
      </c>
      <c r="C15" s="6" t="s">
        <v>116</v>
      </c>
      <c r="F15" s="5">
        <v>10</v>
      </c>
      <c r="G15" s="6" t="s">
        <v>82</v>
      </c>
      <c r="H15" s="6" t="s">
        <v>110</v>
      </c>
      <c r="I15" s="6" t="s">
        <v>17</v>
      </c>
      <c r="J15" s="6" t="s">
        <v>18</v>
      </c>
      <c r="P15"/>
      <c r="Q15"/>
    </row>
    <row r="16" spans="2:26">
      <c r="B16" s="5">
        <v>11</v>
      </c>
      <c r="C16" s="6" t="s">
        <v>117</v>
      </c>
      <c r="F16" s="5">
        <v>11</v>
      </c>
      <c r="G16" s="6" t="s">
        <v>91</v>
      </c>
      <c r="H16" s="6" t="s">
        <v>110</v>
      </c>
      <c r="I16" s="6" t="s">
        <v>17</v>
      </c>
      <c r="J16" s="6" t="s">
        <v>18</v>
      </c>
      <c r="P16"/>
      <c r="Q16"/>
    </row>
    <row r="17" spans="2:17">
      <c r="B17" s="5">
        <v>12</v>
      </c>
      <c r="C17" s="6" t="s">
        <v>118</v>
      </c>
      <c r="F17" s="5">
        <v>12</v>
      </c>
      <c r="G17" s="6" t="s">
        <v>88</v>
      </c>
      <c r="H17" s="6" t="s">
        <v>110</v>
      </c>
      <c r="I17" s="6" t="s">
        <v>17</v>
      </c>
      <c r="J17" s="6" t="s">
        <v>18</v>
      </c>
      <c r="P17"/>
      <c r="Q17"/>
    </row>
    <row r="18" spans="2:17">
      <c r="F18" s="5">
        <v>13</v>
      </c>
      <c r="G18" s="6" t="s">
        <v>83</v>
      </c>
      <c r="H18" s="6" t="s">
        <v>111</v>
      </c>
      <c r="I18" s="6" t="s">
        <v>19</v>
      </c>
      <c r="J18" s="6" t="s">
        <v>20</v>
      </c>
      <c r="P18"/>
      <c r="Q18"/>
    </row>
    <row r="19" spans="2:17">
      <c r="F19" s="5">
        <v>14</v>
      </c>
      <c r="G19" s="6" t="s">
        <v>91</v>
      </c>
      <c r="H19" s="6" t="s">
        <v>111</v>
      </c>
      <c r="I19" s="6" t="s">
        <v>19</v>
      </c>
      <c r="J19" s="6" t="s">
        <v>20</v>
      </c>
      <c r="P19"/>
      <c r="Q19"/>
    </row>
    <row r="20" spans="2:17">
      <c r="F20" s="5">
        <v>15</v>
      </c>
      <c r="G20" s="6" t="s">
        <v>89</v>
      </c>
      <c r="H20" s="6" t="s">
        <v>111</v>
      </c>
      <c r="I20" s="6" t="s">
        <v>19</v>
      </c>
      <c r="J20" s="6" t="s">
        <v>20</v>
      </c>
      <c r="P20"/>
      <c r="Q20"/>
    </row>
    <row r="21" spans="2:17">
      <c r="F21" s="5">
        <v>16</v>
      </c>
      <c r="G21" s="6" t="s">
        <v>84</v>
      </c>
      <c r="H21" s="6" t="s">
        <v>112</v>
      </c>
      <c r="I21" s="6" t="s">
        <v>21</v>
      </c>
      <c r="J21" s="6" t="s">
        <v>22</v>
      </c>
      <c r="P21"/>
    </row>
    <row r="22" spans="2:17">
      <c r="F22" s="5">
        <v>17</v>
      </c>
      <c r="G22" s="6" t="s">
        <v>91</v>
      </c>
      <c r="H22" s="6" t="s">
        <v>112</v>
      </c>
      <c r="I22" s="6" t="s">
        <v>21</v>
      </c>
      <c r="J22" s="6" t="s">
        <v>22</v>
      </c>
      <c r="P22"/>
    </row>
    <row r="23" spans="2:17">
      <c r="F23" s="5">
        <v>18</v>
      </c>
      <c r="G23" s="6" t="s">
        <v>90</v>
      </c>
      <c r="H23" s="6" t="s">
        <v>112</v>
      </c>
      <c r="I23" s="6" t="s">
        <v>21</v>
      </c>
      <c r="J23" s="6" t="s">
        <v>22</v>
      </c>
      <c r="P23"/>
    </row>
    <row r="24" spans="2:17">
      <c r="F24" s="5">
        <v>19</v>
      </c>
      <c r="G24" s="6" t="str">
        <f>(D$20&amp;""&amp;G6)</f>
        <v>S1DA</v>
      </c>
      <c r="H24" s="6" t="s">
        <v>113</v>
      </c>
      <c r="I24" s="6" t="s">
        <v>96</v>
      </c>
      <c r="J24" s="6" t="s">
        <v>97</v>
      </c>
      <c r="P24"/>
    </row>
    <row r="25" spans="2:17">
      <c r="F25" s="5">
        <v>20</v>
      </c>
      <c r="G25" s="6" t="str">
        <f t="shared" ref="G25:G40" si="0">(D$20&amp;""&amp;G7)</f>
        <v>SXDB</v>
      </c>
      <c r="H25" s="6" t="s">
        <v>113</v>
      </c>
      <c r="I25" s="6" t="s">
        <v>96</v>
      </c>
      <c r="J25" s="6" t="s">
        <v>97</v>
      </c>
      <c r="P25"/>
    </row>
    <row r="26" spans="2:17">
      <c r="F26" s="5">
        <v>21</v>
      </c>
      <c r="G26" s="6" t="str">
        <f t="shared" si="0"/>
        <v>S1DB</v>
      </c>
      <c r="H26" s="6" t="s">
        <v>113</v>
      </c>
      <c r="I26" s="6" t="s">
        <v>96</v>
      </c>
      <c r="J26" s="6" t="s">
        <v>97</v>
      </c>
      <c r="P26"/>
    </row>
    <row r="27" spans="2:17">
      <c r="F27" s="5">
        <v>22</v>
      </c>
      <c r="G27" s="6" t="str">
        <f t="shared" si="0"/>
        <v>S2DA</v>
      </c>
      <c r="H27" s="6" t="s">
        <v>114</v>
      </c>
      <c r="I27" s="6" t="s">
        <v>98</v>
      </c>
      <c r="J27" s="6" t="s">
        <v>99</v>
      </c>
      <c r="P27"/>
    </row>
    <row r="28" spans="2:17">
      <c r="F28" s="5">
        <v>23</v>
      </c>
      <c r="G28" s="6" t="str">
        <f t="shared" si="0"/>
        <v>SXDB</v>
      </c>
      <c r="H28" s="6" t="s">
        <v>114</v>
      </c>
      <c r="I28" s="6" t="s">
        <v>98</v>
      </c>
      <c r="J28" s="6" t="s">
        <v>99</v>
      </c>
      <c r="P28"/>
    </row>
    <row r="29" spans="2:17">
      <c r="F29" s="5">
        <v>24</v>
      </c>
      <c r="G29" s="6" t="str">
        <f t="shared" si="0"/>
        <v>S2DB</v>
      </c>
      <c r="H29" s="6" t="s">
        <v>114</v>
      </c>
      <c r="I29" s="6" t="s">
        <v>98</v>
      </c>
      <c r="J29" s="6" t="s">
        <v>99</v>
      </c>
      <c r="P29"/>
    </row>
    <row r="30" spans="2:17">
      <c r="F30" s="5">
        <v>25</v>
      </c>
      <c r="G30" s="6" t="str">
        <f t="shared" si="0"/>
        <v>S3DA</v>
      </c>
      <c r="H30" s="6" t="s">
        <v>115</v>
      </c>
      <c r="I30" s="6" t="s">
        <v>100</v>
      </c>
      <c r="J30" s="6" t="s">
        <v>101</v>
      </c>
    </row>
    <row r="31" spans="2:17">
      <c r="F31" s="5">
        <v>26</v>
      </c>
      <c r="G31" s="6" t="str">
        <f t="shared" si="0"/>
        <v>SXDB</v>
      </c>
      <c r="H31" s="6" t="s">
        <v>115</v>
      </c>
      <c r="I31" s="6" t="s">
        <v>100</v>
      </c>
      <c r="J31" s="6" t="s">
        <v>101</v>
      </c>
    </row>
    <row r="32" spans="2:17">
      <c r="F32" s="5">
        <v>27</v>
      </c>
      <c r="G32" s="6" t="str">
        <f t="shared" si="0"/>
        <v>S3DB</v>
      </c>
      <c r="H32" s="6" t="s">
        <v>115</v>
      </c>
      <c r="I32" s="6" t="s">
        <v>100</v>
      </c>
      <c r="J32" s="6" t="s">
        <v>101</v>
      </c>
    </row>
    <row r="33" spans="6:10">
      <c r="F33" s="5">
        <v>28</v>
      </c>
      <c r="G33" s="6" t="str">
        <f t="shared" si="0"/>
        <v>S4DA</v>
      </c>
      <c r="H33" s="6" t="s">
        <v>116</v>
      </c>
      <c r="I33" s="6" t="s">
        <v>102</v>
      </c>
      <c r="J33" s="6" t="s">
        <v>103</v>
      </c>
    </row>
    <row r="34" spans="6:10">
      <c r="F34" s="5">
        <v>29</v>
      </c>
      <c r="G34" s="6" t="str">
        <f t="shared" si="0"/>
        <v>SXDB</v>
      </c>
      <c r="H34" s="6" t="s">
        <v>116</v>
      </c>
      <c r="I34" s="6" t="s">
        <v>102</v>
      </c>
      <c r="J34" s="6" t="s">
        <v>103</v>
      </c>
    </row>
    <row r="35" spans="6:10">
      <c r="F35" s="5">
        <v>30</v>
      </c>
      <c r="G35" s="6" t="str">
        <f t="shared" si="0"/>
        <v>S4DB</v>
      </c>
      <c r="H35" s="6" t="s">
        <v>116</v>
      </c>
      <c r="I35" s="6" t="s">
        <v>102</v>
      </c>
      <c r="J35" s="6" t="s">
        <v>103</v>
      </c>
    </row>
    <row r="36" spans="6:10">
      <c r="F36" s="5">
        <v>31</v>
      </c>
      <c r="G36" s="6" t="str">
        <f t="shared" si="0"/>
        <v>S5DA</v>
      </c>
      <c r="H36" s="6" t="s">
        <v>117</v>
      </c>
      <c r="I36" s="6" t="s">
        <v>104</v>
      </c>
      <c r="J36" s="6" t="s">
        <v>105</v>
      </c>
    </row>
    <row r="37" spans="6:10">
      <c r="F37" s="5">
        <v>32</v>
      </c>
      <c r="G37" s="6" t="str">
        <f t="shared" si="0"/>
        <v>SXDB</v>
      </c>
      <c r="H37" s="6" t="s">
        <v>117</v>
      </c>
      <c r="I37" s="6" t="s">
        <v>104</v>
      </c>
      <c r="J37" s="6" t="s">
        <v>105</v>
      </c>
    </row>
    <row r="38" spans="6:10">
      <c r="F38" s="5">
        <v>33</v>
      </c>
      <c r="G38" s="6" t="str">
        <f t="shared" si="0"/>
        <v>S5DB</v>
      </c>
      <c r="H38" s="6" t="s">
        <v>117</v>
      </c>
      <c r="I38" s="6" t="s">
        <v>104</v>
      </c>
      <c r="J38" s="6" t="s">
        <v>105</v>
      </c>
    </row>
    <row r="39" spans="6:10">
      <c r="F39" s="5">
        <v>34</v>
      </c>
      <c r="G39" s="6" t="str">
        <f t="shared" si="0"/>
        <v>S6DA</v>
      </c>
      <c r="H39" s="6" t="s">
        <v>118</v>
      </c>
      <c r="I39" s="6" t="s">
        <v>106</v>
      </c>
      <c r="J39" s="6" t="s">
        <v>107</v>
      </c>
    </row>
    <row r="40" spans="6:10">
      <c r="F40" s="5">
        <v>35</v>
      </c>
      <c r="G40" s="6" t="str">
        <f t="shared" si="0"/>
        <v>SXDB</v>
      </c>
      <c r="H40" s="6" t="s">
        <v>118</v>
      </c>
      <c r="I40" s="6" t="s">
        <v>106</v>
      </c>
      <c r="J40" s="6" t="s">
        <v>107</v>
      </c>
    </row>
    <row r="41" spans="6:10">
      <c r="F41" s="5">
        <v>36</v>
      </c>
      <c r="G41" s="6" t="str">
        <f t="shared" ref="G41" si="1">(D$20&amp;""&amp;G23)</f>
        <v>S6DB</v>
      </c>
      <c r="H41" s="6" t="s">
        <v>118</v>
      </c>
      <c r="I41" s="6" t="s">
        <v>106</v>
      </c>
      <c r="J41" s="6" t="s">
        <v>107</v>
      </c>
    </row>
  </sheetData>
  <mergeCells count="4">
    <mergeCell ref="F4:J4"/>
    <mergeCell ref="B4:C4"/>
    <mergeCell ref="Q4:R4"/>
    <mergeCell ref="U4:Y4"/>
  </mergeCells>
  <dataValidations count="2">
    <dataValidation type="list" allowBlank="1" showInputMessage="1" showErrorMessage="1" sqref="H6:H41">
      <formula1>$C$6:$C$256</formula1>
    </dataValidation>
    <dataValidation type="list" allowBlank="1" showInputMessage="1" showErrorMessage="1" sqref="W6:W9">
      <formula1>$R$6:$R$256</formula1>
    </dataValidation>
  </dataValidations>
  <pageMargins left="0.7" right="0.7" top="0.75" bottom="0.75" header="0.3" footer="0.3"/>
  <legacyDrawing r:id="rId1"/>
  <extLst xmlns:x14="http://schemas.microsoft.com/office/spreadsheetml/2009/9/main">
    <ext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'List Ref'!$I$4:$I$5</xm:f>
          </x14:formula1>
          <xm:sqref>Z6:Z7</xm:sqref>
        </x14:dataValidation>
        <x14:dataValidation type="list" allowBlank="1" showInputMessage="1" showErrorMessage="1">
          <x14:formula1>
            <xm:f>'List Ref'!$B$4:$B$1004</xm:f>
          </x14:formula1>
          <xm:sqref>V6:V7</xm:sqref>
        </x14:dataValidation>
        <x14:dataValidation type="list" allowBlank="1" showInputMessage="1" showErrorMessage="1">
          <x14:formula1>
            <xm:f>'List Ref'!$D$4:$D$1004</xm:f>
          </x14:formula1>
          <xm:sqref>X6:X7</xm:sqref>
        </x14:dataValidation>
        <x14:dataValidation type="list" allowBlank="1" showInputMessage="1" showErrorMessage="1">
          <x14:formula1>
            <xm:f>'List Ref'!$D$4:$D$1000</xm:f>
          </x14:formula1>
          <xm:sqref>Y6:Y7</xm:sqref>
        </x14:dataValidation>
        <x14:dataValidation type="list" allowBlank="1" showInputMessage="1" showErrorMessage="1">
          <x14:formula1>
            <xm:f>'List Ref'!$D$4:$D$41</xm:f>
          </x14:formula1>
          <xm:sqref>I6:J40</xm:sqref>
        </x14:dataValidation>
        <x14:dataValidation type="list" allowBlank="1" showInputMessage="1" showErrorMessage="1">
          <x14:formula1>
            <xm:f>'List Ref'!$B$4:$B$31</xm:f>
          </x14:formula1>
          <xm:sqref>G6:G40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tabColor rgb="FF00B0F0"/>
  </sheetPr>
  <dimension ref="A4:DB6"/>
  <sheetViews>
    <sheetView workbookViewId="0">
      <pane xSplit="1" ySplit="5" topLeftCell="G6" activePane="bottomRight" state="frozen"/>
      <selection pane="topRight" activeCell="O1" sqref="O1"/>
      <selection pane="bottomLeft" activeCell="A21" sqref="A21"/>
      <selection pane="bottomRight" activeCell="BX16" sqref="BX16"/>
    </sheetView>
  </sheetViews>
  <sheetFormatPr defaultRowHeight="15" outlineLevelCol="2"/>
  <cols>
    <col min="1" max="1" width="23.7109375" customWidth="1"/>
    <col min="2" max="3" width="9.7109375" hidden="1" customWidth="1" outlineLevel="1"/>
    <col min="4" max="4" width="9" hidden="1" customWidth="1" outlineLevel="1"/>
    <col min="5" max="5" width="10.7109375" hidden="1" customWidth="1" outlineLevel="1"/>
    <col min="6" max="6" width="6.7109375" hidden="1" customWidth="1" outlineLevel="1"/>
    <col min="7" max="7" width="12.28515625" bestFit="1" customWidth="1" collapsed="1"/>
    <col min="8" max="11" width="12.28515625" hidden="1" customWidth="1" outlineLevel="1"/>
    <col min="12" max="12" width="13.5703125" customWidth="1" collapsed="1"/>
    <col min="13" max="13" width="2.7109375" hidden="1" customWidth="1" outlineLevel="1"/>
    <col min="14" max="16" width="13.5703125" hidden="1" customWidth="1" outlineLevel="2"/>
    <col min="17" max="17" width="13.5703125" hidden="1" customWidth="1" outlineLevel="1" collapsed="1"/>
    <col min="18" max="20" width="13.5703125" hidden="1" customWidth="1" outlineLevel="2"/>
    <col min="21" max="21" width="13.5703125" hidden="1" customWidth="1" outlineLevel="1" collapsed="1"/>
    <col min="22" max="24" width="13.5703125" hidden="1" customWidth="1" outlineLevel="2"/>
    <col min="25" max="25" width="13.5703125" hidden="1" customWidth="1" outlineLevel="1" collapsed="1"/>
    <col min="26" max="28" width="13.5703125" hidden="1" customWidth="1" outlineLevel="2"/>
    <col min="29" max="29" width="13.5703125" hidden="1" customWidth="1" outlineLevel="1" collapsed="1"/>
    <col min="30" max="32" width="13.5703125" hidden="1" customWidth="1" outlineLevel="2"/>
    <col min="33" max="33" width="13.5703125" hidden="1" customWidth="1" outlineLevel="1" collapsed="1"/>
    <col min="34" max="36" width="13.5703125" hidden="1" customWidth="1" outlineLevel="2"/>
    <col min="37" max="37" width="13.5703125" hidden="1" customWidth="1" outlineLevel="1" collapsed="1"/>
    <col min="38" max="40" width="13.5703125" hidden="1" customWidth="1" outlineLevel="2"/>
    <col min="41" max="41" width="13.5703125" hidden="1" customWidth="1" outlineLevel="1" collapsed="1"/>
    <col min="42" max="44" width="13.5703125" hidden="1" customWidth="1" outlineLevel="2"/>
    <col min="45" max="45" width="13.5703125" hidden="1" customWidth="1" outlineLevel="1" collapsed="1"/>
    <col min="46" max="48" width="13.5703125" hidden="1" customWidth="1" outlineLevel="2"/>
    <col min="49" max="49" width="13.5703125" hidden="1" customWidth="1" outlineLevel="1" collapsed="1"/>
    <col min="50" max="52" width="13.5703125" hidden="1" customWidth="1" outlineLevel="2"/>
    <col min="53" max="53" width="13.5703125" hidden="1" customWidth="1" outlineLevel="1" collapsed="1"/>
    <col min="54" max="56" width="13.5703125" hidden="1" customWidth="1" outlineLevel="2"/>
    <col min="57" max="57" width="13.5703125" hidden="1" customWidth="1" outlineLevel="1" collapsed="1"/>
    <col min="58" max="60" width="13.5703125" hidden="1" customWidth="1" outlineLevel="2"/>
    <col min="61" max="61" width="13.5703125" hidden="1" customWidth="1" outlineLevel="1" collapsed="1"/>
    <col min="62" max="62" width="14" customWidth="1" collapsed="1"/>
    <col min="63" max="63" width="11.7109375" customWidth="1"/>
    <col min="64" max="75" width="13.28515625" hidden="1" customWidth="1" outlineLevel="1"/>
    <col min="76" max="76" width="14.42578125" customWidth="1" collapsed="1"/>
    <col min="77" max="77" width="12.7109375" customWidth="1"/>
    <col min="78" max="89" width="13.28515625" hidden="1" customWidth="1" outlineLevel="1"/>
    <col min="90" max="90" width="13.7109375" customWidth="1" collapsed="1"/>
    <col min="91" max="91" width="12.5703125" customWidth="1"/>
    <col min="92" max="103" width="13.28515625" hidden="1" customWidth="1" outlineLevel="1"/>
    <col min="104" max="104" width="12.7109375" customWidth="1" collapsed="1"/>
    <col min="105" max="105" width="27" customWidth="1"/>
    <col min="106" max="106" width="27.7109375" customWidth="1"/>
  </cols>
  <sheetData>
    <row r="4" spans="1:106" s="22" customFormat="1" ht="15" customHeight="1">
      <c r="A4" s="35" t="s">
        <v>72</v>
      </c>
      <c r="B4" s="33" t="s">
        <v>39</v>
      </c>
      <c r="C4" s="33" t="s">
        <v>40</v>
      </c>
      <c r="D4" s="33" t="s">
        <v>41</v>
      </c>
      <c r="E4" s="33" t="s">
        <v>42</v>
      </c>
      <c r="F4" s="33" t="s">
        <v>43</v>
      </c>
      <c r="G4" s="37" t="s">
        <v>44</v>
      </c>
      <c r="H4" s="23" t="s">
        <v>66</v>
      </c>
      <c r="I4" s="23" t="s">
        <v>66</v>
      </c>
      <c r="J4" s="23" t="s">
        <v>66</v>
      </c>
      <c r="K4" s="23" t="s">
        <v>66</v>
      </c>
      <c r="L4" s="37" t="s">
        <v>45</v>
      </c>
      <c r="M4" s="14"/>
      <c r="N4" s="25" t="s">
        <v>60</v>
      </c>
      <c r="O4" s="25" t="s">
        <v>60</v>
      </c>
      <c r="P4" s="25" t="s">
        <v>60</v>
      </c>
      <c r="Q4" s="23" t="s">
        <v>61</v>
      </c>
      <c r="R4" s="25" t="s">
        <v>60</v>
      </c>
      <c r="S4" s="25" t="s">
        <v>60</v>
      </c>
      <c r="T4" s="25" t="s">
        <v>60</v>
      </c>
      <c r="U4" s="23" t="s">
        <v>61</v>
      </c>
      <c r="V4" s="25" t="s">
        <v>60</v>
      </c>
      <c r="W4" s="25" t="s">
        <v>60</v>
      </c>
      <c r="X4" s="25" t="s">
        <v>60</v>
      </c>
      <c r="Y4" s="23" t="s">
        <v>61</v>
      </c>
      <c r="Z4" s="25" t="s">
        <v>60</v>
      </c>
      <c r="AA4" s="25" t="s">
        <v>60</v>
      </c>
      <c r="AB4" s="25" t="s">
        <v>60</v>
      </c>
      <c r="AC4" s="23" t="s">
        <v>61</v>
      </c>
      <c r="AD4" s="25" t="s">
        <v>60</v>
      </c>
      <c r="AE4" s="25" t="s">
        <v>60</v>
      </c>
      <c r="AF4" s="25" t="s">
        <v>60</v>
      </c>
      <c r="AG4" s="23" t="s">
        <v>61</v>
      </c>
      <c r="AH4" s="25" t="s">
        <v>60</v>
      </c>
      <c r="AI4" s="25" t="s">
        <v>60</v>
      </c>
      <c r="AJ4" s="25" t="s">
        <v>60</v>
      </c>
      <c r="AK4" s="23" t="s">
        <v>61</v>
      </c>
      <c r="AL4" s="25" t="s">
        <v>60</v>
      </c>
      <c r="AM4" s="25" t="s">
        <v>60</v>
      </c>
      <c r="AN4" s="25" t="s">
        <v>60</v>
      </c>
      <c r="AO4" s="23" t="s">
        <v>61</v>
      </c>
      <c r="AP4" s="25" t="s">
        <v>60</v>
      </c>
      <c r="AQ4" s="25" t="s">
        <v>60</v>
      </c>
      <c r="AR4" s="25" t="s">
        <v>60</v>
      </c>
      <c r="AS4" s="23" t="s">
        <v>61</v>
      </c>
      <c r="AT4" s="25" t="s">
        <v>60</v>
      </c>
      <c r="AU4" s="25" t="s">
        <v>60</v>
      </c>
      <c r="AV4" s="25" t="s">
        <v>60</v>
      </c>
      <c r="AW4" s="23" t="s">
        <v>61</v>
      </c>
      <c r="AX4" s="25" t="s">
        <v>60</v>
      </c>
      <c r="AY4" s="25" t="s">
        <v>60</v>
      </c>
      <c r="AZ4" s="25" t="s">
        <v>60</v>
      </c>
      <c r="BA4" s="23" t="s">
        <v>61</v>
      </c>
      <c r="BB4" s="25" t="s">
        <v>60</v>
      </c>
      <c r="BC4" s="25" t="s">
        <v>60</v>
      </c>
      <c r="BD4" s="25" t="s">
        <v>60</v>
      </c>
      <c r="BE4" s="23" t="s">
        <v>61</v>
      </c>
      <c r="BF4" s="25" t="s">
        <v>60</v>
      </c>
      <c r="BG4" s="25" t="s">
        <v>60</v>
      </c>
      <c r="BH4" s="25" t="s">
        <v>60</v>
      </c>
      <c r="BI4" s="23" t="s">
        <v>61</v>
      </c>
      <c r="BJ4" s="37" t="s">
        <v>46</v>
      </c>
      <c r="BK4" s="37" t="s">
        <v>47</v>
      </c>
      <c r="BL4" s="23" t="s">
        <v>62</v>
      </c>
      <c r="BM4" s="23" t="s">
        <v>62</v>
      </c>
      <c r="BN4" s="23" t="s">
        <v>62</v>
      </c>
      <c r="BO4" s="23" t="s">
        <v>62</v>
      </c>
      <c r="BP4" s="23" t="s">
        <v>62</v>
      </c>
      <c r="BQ4" s="23" t="s">
        <v>62</v>
      </c>
      <c r="BR4" s="23" t="s">
        <v>62</v>
      </c>
      <c r="BS4" s="23" t="s">
        <v>62</v>
      </c>
      <c r="BT4" s="23" t="s">
        <v>62</v>
      </c>
      <c r="BU4" s="23" t="s">
        <v>62</v>
      </c>
      <c r="BV4" s="23" t="s">
        <v>62</v>
      </c>
      <c r="BW4" s="23" t="s">
        <v>62</v>
      </c>
      <c r="BX4" s="37" t="s">
        <v>48</v>
      </c>
      <c r="BY4" s="37" t="s">
        <v>49</v>
      </c>
      <c r="BZ4" s="23" t="s">
        <v>63</v>
      </c>
      <c r="CA4" s="23" t="s">
        <v>63</v>
      </c>
      <c r="CB4" s="23" t="s">
        <v>63</v>
      </c>
      <c r="CC4" s="23" t="s">
        <v>63</v>
      </c>
      <c r="CD4" s="23" t="s">
        <v>63</v>
      </c>
      <c r="CE4" s="23" t="s">
        <v>63</v>
      </c>
      <c r="CF4" s="23" t="s">
        <v>63</v>
      </c>
      <c r="CG4" s="23" t="s">
        <v>63</v>
      </c>
      <c r="CH4" s="23" t="s">
        <v>63</v>
      </c>
      <c r="CI4" s="23" t="s">
        <v>63</v>
      </c>
      <c r="CJ4" s="23" t="s">
        <v>63</v>
      </c>
      <c r="CK4" s="23" t="s">
        <v>63</v>
      </c>
      <c r="CL4" s="37" t="s">
        <v>50</v>
      </c>
      <c r="CM4" s="37" t="s">
        <v>51</v>
      </c>
      <c r="CN4" s="23" t="s">
        <v>64</v>
      </c>
      <c r="CO4" s="23" t="s">
        <v>64</v>
      </c>
      <c r="CP4" s="23" t="s">
        <v>64</v>
      </c>
      <c r="CQ4" s="23" t="s">
        <v>64</v>
      </c>
      <c r="CR4" s="23" t="s">
        <v>64</v>
      </c>
      <c r="CS4" s="23" t="s">
        <v>64</v>
      </c>
      <c r="CT4" s="23" t="s">
        <v>64</v>
      </c>
      <c r="CU4" s="23" t="s">
        <v>64</v>
      </c>
      <c r="CV4" s="23" t="s">
        <v>64</v>
      </c>
      <c r="CW4" s="23" t="s">
        <v>64</v>
      </c>
      <c r="CX4" s="23" t="s">
        <v>64</v>
      </c>
      <c r="CY4" s="23" t="s">
        <v>64</v>
      </c>
      <c r="CZ4" s="37" t="s">
        <v>52</v>
      </c>
      <c r="DA4" s="35" t="s">
        <v>53</v>
      </c>
      <c r="DB4" s="28"/>
    </row>
    <row r="5" spans="1:106" s="17" customFormat="1" ht="15" customHeight="1">
      <c r="A5" s="36"/>
      <c r="B5" s="34"/>
      <c r="C5" s="34"/>
      <c r="D5" s="34"/>
      <c r="E5" s="34"/>
      <c r="F5" s="34"/>
      <c r="G5" s="38"/>
      <c r="H5" s="24" t="str">
        <f>'Define Scoring Criteria'!R6</f>
        <v>Lateral1</v>
      </c>
      <c r="I5" s="24" t="str">
        <f>'Define Scoring Criteria'!R7</f>
        <v>Lateral2</v>
      </c>
      <c r="J5" s="24" t="str">
        <f>'Define Scoring Criteria'!R8</f>
        <v>LLateral1</v>
      </c>
      <c r="K5" s="24" t="str">
        <f>'Define Scoring Criteria'!R9</f>
        <v>LLateral2</v>
      </c>
      <c r="L5" s="38"/>
      <c r="M5" s="16"/>
      <c r="N5" s="26" t="str">
        <f t="array" ref="N5">INDEX('Define Scoring Criteria'!$G:$G,SMALL(IF(('Define Scoring Criteria'!$H:$H=Q5),ROW('Define Scoring Criteria'!$H:$H),""),1),1)</f>
        <v>S1DA</v>
      </c>
      <c r="O5" s="26" t="str">
        <f t="array" ref="O5">INDEX('Define Scoring Criteria'!$G:$G,SMALL(IF(('Define Scoring Criteria'!$H:$H=Q5),ROW('Define Scoring Criteria'!$H:$H),""),2),1)</f>
        <v>SXDB</v>
      </c>
      <c r="P5" s="26" t="str">
        <f t="array" ref="P5">INDEX('Define Scoring Criteria'!$G:$G,SMALL(IF(('Define Scoring Criteria'!$H:$H=Q5),ROW('Define Scoring Criteria'!$H:$H),""),3),1)</f>
        <v>S1DB</v>
      </c>
      <c r="Q5" s="24" t="str">
        <f>'Define Scoring Criteria'!C6</f>
        <v>Case1</v>
      </c>
      <c r="R5" s="26" t="str">
        <f t="array" ref="R5">INDEX('Define Scoring Criteria'!$G:$G,SMALL(IF(('Define Scoring Criteria'!$H:$H=U5),ROW('Define Scoring Criteria'!$H:$H),""),1),1)</f>
        <v>S2DA</v>
      </c>
      <c r="S5" s="26" t="str">
        <f t="array" ref="S5">INDEX('Define Scoring Criteria'!$G:$G,SMALL(IF(('Define Scoring Criteria'!$H:$H=U5),ROW('Define Scoring Criteria'!$H:$H),""),2),1)</f>
        <v>SXDB</v>
      </c>
      <c r="T5" s="26" t="str">
        <f t="array" ref="T5">INDEX('Define Scoring Criteria'!$G:$G,SMALL(IF(('Define Scoring Criteria'!$H:$H=U5),ROW('Define Scoring Criteria'!$H:$H),""),3),1)</f>
        <v>S2DB</v>
      </c>
      <c r="U5" s="24" t="str">
        <f>'Define Scoring Criteria'!C7</f>
        <v>Case2</v>
      </c>
      <c r="V5" s="26" t="str">
        <f t="array" ref="V5">INDEX('Define Scoring Criteria'!$G:$G,SMALL(IF(('Define Scoring Criteria'!$H:$H=Y5),ROW('Define Scoring Criteria'!$H:$H),""),1),1)</f>
        <v>S3DA</v>
      </c>
      <c r="W5" s="26" t="str">
        <f t="array" ref="W5">INDEX('Define Scoring Criteria'!$G:$G,SMALL(IF(('Define Scoring Criteria'!$H:$H=Y5),ROW('Define Scoring Criteria'!$H:$H),""),2),1)</f>
        <v>SXDB</v>
      </c>
      <c r="X5" s="26" t="str">
        <f t="array" ref="X5">INDEX('Define Scoring Criteria'!$G:$G,SMALL(IF(('Define Scoring Criteria'!$H:$H=Y5),ROW('Define Scoring Criteria'!$H:$H),""),3),1)</f>
        <v>S3DB</v>
      </c>
      <c r="Y5" s="24" t="str">
        <f>'Define Scoring Criteria'!C8</f>
        <v>Case3</v>
      </c>
      <c r="Z5" s="26" t="str">
        <f t="array" ref="Z5">INDEX('Define Scoring Criteria'!$G:$G,SMALL(IF(('Define Scoring Criteria'!$H:$H=AC5),ROW('Define Scoring Criteria'!$H:$H),""),1),1)</f>
        <v>S4DA</v>
      </c>
      <c r="AA5" s="26" t="str">
        <f t="array" ref="AA5">INDEX('Define Scoring Criteria'!$G:$G,SMALL(IF(('Define Scoring Criteria'!$H:$H=AC5),ROW('Define Scoring Criteria'!$H:$H),""),2),1)</f>
        <v>SXDB</v>
      </c>
      <c r="AB5" s="26" t="str">
        <f t="array" ref="AB5">INDEX('Define Scoring Criteria'!$G:$G,SMALL(IF(('Define Scoring Criteria'!$H:$H=AC5),ROW('Define Scoring Criteria'!$H:$H),""),3),1)</f>
        <v>S4DB</v>
      </c>
      <c r="AC5" s="24" t="str">
        <f>'Define Scoring Criteria'!C9</f>
        <v>Case4</v>
      </c>
      <c r="AD5" s="26" t="str">
        <f t="array" ref="AD5">INDEX('Define Scoring Criteria'!$G:$G,SMALL(IF(('Define Scoring Criteria'!$H:$H=AG5),ROW('Define Scoring Criteria'!$H:$H),""),1),1)</f>
        <v>S5DA</v>
      </c>
      <c r="AE5" s="26" t="str">
        <f t="array" ref="AE5">INDEX('Define Scoring Criteria'!$G:$G,SMALL(IF(('Define Scoring Criteria'!$H:$H=AG5),ROW('Define Scoring Criteria'!$H:$H),""),2),1)</f>
        <v>SXDB</v>
      </c>
      <c r="AF5" s="26" t="str">
        <f t="array" ref="AF5">INDEX('Define Scoring Criteria'!$G:$G,SMALL(IF(('Define Scoring Criteria'!$H:$H=AG5),ROW('Define Scoring Criteria'!$H:$H),""),3),1)</f>
        <v>S5DB</v>
      </c>
      <c r="AG5" s="24" t="str">
        <f>'Define Scoring Criteria'!C10</f>
        <v>Case5</v>
      </c>
      <c r="AH5" s="26" t="str">
        <f t="array" ref="AH5">INDEX('Define Scoring Criteria'!$G:$G,SMALL(IF(('Define Scoring Criteria'!$H:$H=AK5),ROW('Define Scoring Criteria'!$H:$H),""),1),1)</f>
        <v>S6DA</v>
      </c>
      <c r="AI5" s="26" t="str">
        <f t="array" ref="AI5">INDEX('Define Scoring Criteria'!$G:$G,SMALL(IF(('Define Scoring Criteria'!$H:$H=AK5),ROW('Define Scoring Criteria'!$H:$H),""),2),1)</f>
        <v>SXDB</v>
      </c>
      <c r="AJ5" s="26" t="str">
        <f t="array" ref="AJ5">INDEX('Define Scoring Criteria'!$G:$G,SMALL(IF(('Define Scoring Criteria'!$H:$H=AK5),ROW('Define Scoring Criteria'!$H:$H),""),3),1)</f>
        <v>S6DB</v>
      </c>
      <c r="AK5" s="24" t="str">
        <f>'Define Scoring Criteria'!C11</f>
        <v>Case6</v>
      </c>
      <c r="AL5" s="26" t="str">
        <f t="array" ref="AL5">INDEX('Define Scoring Criteria'!$G:$G,SMALL(IF(('Define Scoring Criteria'!$H:$H=AO5),ROW('Define Scoring Criteria'!$H:$H),""),1),1)</f>
        <v>S1DA</v>
      </c>
      <c r="AM5" s="26" t="str">
        <f t="array" ref="AM5">INDEX('Define Scoring Criteria'!$G:$G,SMALL(IF(('Define Scoring Criteria'!$H:$H=AO5),ROW('Define Scoring Criteria'!$H:$H),""),2),1)</f>
        <v>SXDB</v>
      </c>
      <c r="AN5" s="26" t="str">
        <f t="array" ref="AN5">INDEX('Define Scoring Criteria'!$G:$G,SMALL(IF(('Define Scoring Criteria'!$H:$H=AO5),ROW('Define Scoring Criteria'!$H:$H),""),3),1)</f>
        <v>S1DB</v>
      </c>
      <c r="AO5" s="24" t="str">
        <f>'Define Scoring Criteria'!C12</f>
        <v>LCase1</v>
      </c>
      <c r="AP5" s="26" t="str">
        <f t="array" ref="AP5">INDEX('Define Scoring Criteria'!$G:$G,SMALL(IF(('Define Scoring Criteria'!$H:$H=AS5),ROW('Define Scoring Criteria'!$H:$H),""),1),1)</f>
        <v>S2DA</v>
      </c>
      <c r="AQ5" s="26" t="str">
        <f t="array" ref="AQ5">INDEX('Define Scoring Criteria'!$G:$G,SMALL(IF(('Define Scoring Criteria'!$H:$H=AS5),ROW('Define Scoring Criteria'!$H:$H),""),2),1)</f>
        <v>SXDB</v>
      </c>
      <c r="AR5" s="26" t="str">
        <f t="array" ref="AR5">INDEX('Define Scoring Criteria'!$G:$G,SMALL(IF(('Define Scoring Criteria'!$H:$H=AS5),ROW('Define Scoring Criteria'!$H:$H),""),3),1)</f>
        <v>S2DB</v>
      </c>
      <c r="AS5" s="24" t="str">
        <f>'Define Scoring Criteria'!C13</f>
        <v>LCase2</v>
      </c>
      <c r="AT5" s="26" t="str">
        <f t="array" ref="AT5">INDEX('Define Scoring Criteria'!$G:$G,SMALL(IF(('Define Scoring Criteria'!$H:$H=AW5),ROW('Define Scoring Criteria'!$H:$H),""),1),1)</f>
        <v>S3DA</v>
      </c>
      <c r="AU5" s="26" t="str">
        <f t="array" ref="AU5">INDEX('Define Scoring Criteria'!$G:$G,SMALL(IF(('Define Scoring Criteria'!$H:$H=AW5),ROW('Define Scoring Criteria'!$H:$H),""),2),1)</f>
        <v>SXDB</v>
      </c>
      <c r="AV5" s="26" t="str">
        <f t="array" ref="AV5">INDEX('Define Scoring Criteria'!$G:$G,SMALL(IF(('Define Scoring Criteria'!$H:$H=AW5),ROW('Define Scoring Criteria'!$H:$H),""),3),1)</f>
        <v>S3DB</v>
      </c>
      <c r="AW5" s="24" t="str">
        <f>'Define Scoring Criteria'!C14</f>
        <v>LCase3</v>
      </c>
      <c r="AX5" s="26" t="str">
        <f t="array" ref="AX5">INDEX('Define Scoring Criteria'!$G:$G,SMALL(IF(('Define Scoring Criteria'!$H:$H=BA5),ROW('Define Scoring Criteria'!$H:$H),""),1),1)</f>
        <v>S4DA</v>
      </c>
      <c r="AY5" s="26" t="str">
        <f t="array" ref="AY5">INDEX('Define Scoring Criteria'!$G:$G,SMALL(IF(('Define Scoring Criteria'!$H:$H=BA5),ROW('Define Scoring Criteria'!$H:$H),""),2),1)</f>
        <v>SXDB</v>
      </c>
      <c r="AZ5" s="26" t="str">
        <f t="array" ref="AZ5">INDEX('Define Scoring Criteria'!$G:$G,SMALL(IF(('Define Scoring Criteria'!$H:$H=BA5),ROW('Define Scoring Criteria'!$H:$H),""),3),1)</f>
        <v>S4DB</v>
      </c>
      <c r="BA5" s="24" t="str">
        <f>'Define Scoring Criteria'!C15</f>
        <v>LCase4</v>
      </c>
      <c r="BB5" s="26" t="str">
        <f t="array" ref="BB5">INDEX('Define Scoring Criteria'!$G:$G,SMALL(IF(('Define Scoring Criteria'!$H:$H=BE5),ROW('Define Scoring Criteria'!$H:$H),""),1),1)</f>
        <v>S5DA</v>
      </c>
      <c r="BC5" s="26" t="str">
        <f t="array" ref="BC5">INDEX('Define Scoring Criteria'!$G:$G,SMALL(IF(('Define Scoring Criteria'!$H:$H=BE5),ROW('Define Scoring Criteria'!$H:$H),""),2),1)</f>
        <v>SXDB</v>
      </c>
      <c r="BD5" s="26" t="str">
        <f t="array" ref="BD5">INDEX('Define Scoring Criteria'!$G:$G,SMALL(IF(('Define Scoring Criteria'!$H:$H=BE5),ROW('Define Scoring Criteria'!$H:$H),""),3),1)</f>
        <v>S5DB</v>
      </c>
      <c r="BE5" s="24" t="str">
        <f>'Define Scoring Criteria'!C16</f>
        <v>LCase5</v>
      </c>
      <c r="BF5" s="26" t="str">
        <f t="array" ref="BF5">INDEX('Define Scoring Criteria'!$G:$G,SMALL(IF(('Define Scoring Criteria'!$H:$H=BI5),ROW('Define Scoring Criteria'!$H:$H),""),1),1)</f>
        <v>S6DA</v>
      </c>
      <c r="BG5" s="26" t="str">
        <f t="array" ref="BG5">INDEX('Define Scoring Criteria'!$G:$G,SMALL(IF(('Define Scoring Criteria'!$H:$H=BI5),ROW('Define Scoring Criteria'!$H:$H),""),2),1)</f>
        <v>SXDB</v>
      </c>
      <c r="BH5" s="26" t="str">
        <f t="array" ref="BH5">INDEX('Define Scoring Criteria'!$G:$G,SMALL(IF(('Define Scoring Criteria'!$H:$H=BI5),ROW('Define Scoring Criteria'!$H:$H),""),3),1)</f>
        <v>S6DB</v>
      </c>
      <c r="BI5" s="24" t="str">
        <f>'Define Scoring Criteria'!C17</f>
        <v>LCase6</v>
      </c>
      <c r="BJ5" s="38"/>
      <c r="BK5" s="38"/>
      <c r="BL5" s="24" t="str">
        <f>'Define Scoring Criteria'!C6</f>
        <v>Case1</v>
      </c>
      <c r="BM5" s="24" t="str">
        <f>'Define Scoring Criteria'!C7</f>
        <v>Case2</v>
      </c>
      <c r="BN5" s="24" t="str">
        <f>'Define Scoring Criteria'!C8</f>
        <v>Case3</v>
      </c>
      <c r="BO5" s="24" t="str">
        <f>'Define Scoring Criteria'!C9</f>
        <v>Case4</v>
      </c>
      <c r="BP5" s="24" t="str">
        <f>'Define Scoring Criteria'!C10</f>
        <v>Case5</v>
      </c>
      <c r="BQ5" s="24" t="str">
        <f>'Define Scoring Criteria'!C11</f>
        <v>Case6</v>
      </c>
      <c r="BR5" s="24" t="str">
        <f>'Define Scoring Criteria'!C12</f>
        <v>LCase1</v>
      </c>
      <c r="BS5" s="24" t="str">
        <f>'Define Scoring Criteria'!C13</f>
        <v>LCase2</v>
      </c>
      <c r="BT5" s="24" t="str">
        <f>'Define Scoring Criteria'!C14</f>
        <v>LCase3</v>
      </c>
      <c r="BU5" s="24" t="str">
        <f>'Define Scoring Criteria'!C15</f>
        <v>LCase4</v>
      </c>
      <c r="BV5" s="24" t="str">
        <f>'Define Scoring Criteria'!C16</f>
        <v>LCase5</v>
      </c>
      <c r="BW5" s="24" t="str">
        <f>'Define Scoring Criteria'!C17</f>
        <v>LCase6</v>
      </c>
      <c r="BX5" s="38"/>
      <c r="BY5" s="38"/>
      <c r="BZ5" s="24" t="str">
        <f>'Define Scoring Criteria'!C6</f>
        <v>Case1</v>
      </c>
      <c r="CA5" s="24" t="str">
        <f>'Define Scoring Criteria'!C7</f>
        <v>Case2</v>
      </c>
      <c r="CB5" s="24" t="str">
        <f>'Define Scoring Criteria'!C8</f>
        <v>Case3</v>
      </c>
      <c r="CC5" s="24" t="str">
        <f>'Define Scoring Criteria'!C9</f>
        <v>Case4</v>
      </c>
      <c r="CD5" s="24" t="str">
        <f>'Define Scoring Criteria'!C10</f>
        <v>Case5</v>
      </c>
      <c r="CE5" s="24" t="str">
        <f>'Define Scoring Criteria'!C11</f>
        <v>Case6</v>
      </c>
      <c r="CF5" s="24" t="str">
        <f>'Define Scoring Criteria'!C12</f>
        <v>LCase1</v>
      </c>
      <c r="CG5" s="24" t="str">
        <f>'Define Scoring Criteria'!C13</f>
        <v>LCase2</v>
      </c>
      <c r="CH5" s="24" t="str">
        <f>'Define Scoring Criteria'!C14</f>
        <v>LCase3</v>
      </c>
      <c r="CI5" s="24" t="str">
        <f>'Define Scoring Criteria'!C15</f>
        <v>LCase4</v>
      </c>
      <c r="CJ5" s="24" t="str">
        <f>'Define Scoring Criteria'!C16</f>
        <v>LCase5</v>
      </c>
      <c r="CK5" s="24" t="str">
        <f>'Define Scoring Criteria'!C17</f>
        <v>LCase6</v>
      </c>
      <c r="CL5" s="38"/>
      <c r="CM5" s="38"/>
      <c r="CN5" s="24" t="str">
        <f>'Define Scoring Criteria'!C6</f>
        <v>Case1</v>
      </c>
      <c r="CO5" s="24" t="str">
        <f>'Define Scoring Criteria'!C7</f>
        <v>Case2</v>
      </c>
      <c r="CP5" s="24" t="str">
        <f>'Define Scoring Criteria'!C8</f>
        <v>Case3</v>
      </c>
      <c r="CQ5" s="24" t="str">
        <f>'Define Scoring Criteria'!C9</f>
        <v>Case4</v>
      </c>
      <c r="CR5" s="24" t="str">
        <f>'Define Scoring Criteria'!C10</f>
        <v>Case5</v>
      </c>
      <c r="CS5" s="24" t="str">
        <f>'Define Scoring Criteria'!C11</f>
        <v>Case6</v>
      </c>
      <c r="CT5" s="24" t="str">
        <f>'Define Scoring Criteria'!C12</f>
        <v>LCase1</v>
      </c>
      <c r="CU5" s="24" t="str">
        <f>'Define Scoring Criteria'!C13</f>
        <v>LCase2</v>
      </c>
      <c r="CV5" s="24" t="str">
        <f>'Define Scoring Criteria'!C14</f>
        <v>LCase3</v>
      </c>
      <c r="CW5" s="24" t="str">
        <f>'Define Scoring Criteria'!C15</f>
        <v>LCase4</v>
      </c>
      <c r="CX5" s="24" t="str">
        <f>'Define Scoring Criteria'!C16</f>
        <v>LCase5</v>
      </c>
      <c r="CY5" s="24" t="str">
        <f>'Define Scoring Criteria'!C17</f>
        <v>LCase6</v>
      </c>
      <c r="CZ5" s="38"/>
      <c r="DA5" s="36"/>
      <c r="DB5" s="15" t="s">
        <v>71</v>
      </c>
    </row>
    <row r="6" spans="1:106">
      <c r="A6" t="s">
        <v>65</v>
      </c>
      <c r="B6" s="18">
        <v>0</v>
      </c>
      <c r="C6" s="18">
        <v>0</v>
      </c>
      <c r="D6" s="18">
        <v>0</v>
      </c>
      <c r="E6" s="18">
        <v>0</v>
      </c>
      <c r="F6" s="18">
        <v>0</v>
      </c>
      <c r="G6" s="19">
        <f>'Define Scoring Criteria'!$N$11+'Define Scoring Criteria'!$N$12*E6+'Define Scoring Criteria'!$N$13*F6</f>
        <v>0</v>
      </c>
      <c r="H6" s="19"/>
      <c r="I6" s="19"/>
      <c r="J6" s="19"/>
      <c r="K6" s="19"/>
      <c r="L6" s="20">
        <f>MAX(H6:K6)</f>
        <v>0</v>
      </c>
      <c r="M6" s="20"/>
      <c r="N6" s="20"/>
      <c r="O6" s="20"/>
      <c r="P6" s="20"/>
      <c r="Q6" s="20">
        <f>SUM(N6:P6)</f>
        <v>0</v>
      </c>
      <c r="R6" s="20"/>
      <c r="S6" s="20"/>
      <c r="T6" s="20"/>
      <c r="U6" s="20">
        <f>SUM(R6:T6)</f>
        <v>0</v>
      </c>
      <c r="V6" s="20"/>
      <c r="W6" s="20"/>
      <c r="X6" s="20"/>
      <c r="Y6" s="20">
        <f>SUM(V6:X6)</f>
        <v>0</v>
      </c>
      <c r="Z6" s="20"/>
      <c r="AA6" s="20"/>
      <c r="AB6" s="20"/>
      <c r="AC6" s="20">
        <f>SUM(Z6:AB6)</f>
        <v>0</v>
      </c>
      <c r="AD6" s="20"/>
      <c r="AE6" s="20"/>
      <c r="AF6" s="20"/>
      <c r="AG6" s="20">
        <f>SUM(AD6:AF6)</f>
        <v>0</v>
      </c>
      <c r="AH6" s="20"/>
      <c r="AI6" s="20"/>
      <c r="AJ6" s="20"/>
      <c r="AK6" s="20">
        <f>SUM(AH6:AJ6)</f>
        <v>0</v>
      </c>
      <c r="AL6" s="20"/>
      <c r="AM6" s="20"/>
      <c r="AN6" s="20"/>
      <c r="AO6" s="20">
        <f>SUM(AL6:AN6)</f>
        <v>0</v>
      </c>
      <c r="AP6" s="20"/>
      <c r="AQ6" s="20"/>
      <c r="AR6" s="20"/>
      <c r="AS6" s="20">
        <f>SUM(AP6:AR6)</f>
        <v>0</v>
      </c>
      <c r="AT6" s="20"/>
      <c r="AU6" s="20"/>
      <c r="AV6" s="20"/>
      <c r="AW6" s="20">
        <f>SUM(AT6:AV6)</f>
        <v>0</v>
      </c>
      <c r="AX6" s="20"/>
      <c r="AY6" s="20"/>
      <c r="AZ6" s="20"/>
      <c r="BA6" s="20">
        <f>SUM(AX6:AZ6)</f>
        <v>0</v>
      </c>
      <c r="BB6" s="20"/>
      <c r="BC6" s="20"/>
      <c r="BD6" s="20"/>
      <c r="BE6" s="20">
        <f>SUM(BB6:BD6)</f>
        <v>0</v>
      </c>
      <c r="BF6" s="20"/>
      <c r="BG6" s="20"/>
      <c r="BH6" s="20"/>
      <c r="BI6" s="20">
        <f>SUM(BF6:BH6)</f>
        <v>0</v>
      </c>
      <c r="BJ6" s="20"/>
      <c r="BK6" s="12">
        <v>0</v>
      </c>
      <c r="BL6" s="21">
        <f>'Define Scoring Criteria'!$N$2*Q6</f>
        <v>0</v>
      </c>
      <c r="BM6" s="21">
        <f>'Define Scoring Criteria'!$N$2*U6</f>
        <v>0</v>
      </c>
      <c r="BN6" s="21">
        <f>'Define Scoring Criteria'!$N$2*Y6</f>
        <v>0</v>
      </c>
      <c r="BO6" s="21">
        <f>'Define Scoring Criteria'!$N$2*AC6</f>
        <v>0</v>
      </c>
      <c r="BP6" s="21">
        <f>'Define Scoring Criteria'!$N$2*AG6</f>
        <v>0</v>
      </c>
      <c r="BQ6" s="21">
        <f>'Define Scoring Criteria'!$N$2*AK6</f>
        <v>0</v>
      </c>
      <c r="BR6" s="21">
        <f>'Define Scoring Criteria'!$N$2*AO6</f>
        <v>0</v>
      </c>
      <c r="BS6" s="21">
        <f>'Define Scoring Criteria'!$N$2*AS6</f>
        <v>0</v>
      </c>
      <c r="BT6" s="21">
        <f>'Define Scoring Criteria'!$N$2*AW6</f>
        <v>0</v>
      </c>
      <c r="BU6" s="21">
        <f>'Define Scoring Criteria'!$N$2*BA6</f>
        <v>0</v>
      </c>
      <c r="BV6" s="21">
        <f>'Define Scoring Criteria'!$N$2*BE6</f>
        <v>0</v>
      </c>
      <c r="BW6" s="21">
        <f>'Define Scoring Criteria'!$N$2*BI6</f>
        <v>0</v>
      </c>
      <c r="BX6" s="21">
        <f>'Define Scoring Criteria'!$N$2*BJ6</f>
        <v>0</v>
      </c>
      <c r="BY6" s="21">
        <f>'Define Scoring Criteria'!$N$3*BK6</f>
        <v>0</v>
      </c>
      <c r="BZ6" s="21">
        <f t="shared" ref="BZ6:CK6" si="0">BL6+$BY6</f>
        <v>0</v>
      </c>
      <c r="CA6" s="21">
        <f t="shared" si="0"/>
        <v>0</v>
      </c>
      <c r="CB6" s="21">
        <f t="shared" si="0"/>
        <v>0</v>
      </c>
      <c r="CC6" s="21">
        <f t="shared" si="0"/>
        <v>0</v>
      </c>
      <c r="CD6" s="21">
        <f t="shared" si="0"/>
        <v>0</v>
      </c>
      <c r="CE6" s="21">
        <f t="shared" si="0"/>
        <v>0</v>
      </c>
      <c r="CF6" s="21">
        <f t="shared" si="0"/>
        <v>0</v>
      </c>
      <c r="CG6" s="21">
        <f t="shared" si="0"/>
        <v>0</v>
      </c>
      <c r="CH6" s="21">
        <f t="shared" si="0"/>
        <v>0</v>
      </c>
      <c r="CI6" s="21">
        <f t="shared" si="0"/>
        <v>0</v>
      </c>
      <c r="CJ6" s="21">
        <f t="shared" si="0"/>
        <v>0</v>
      </c>
      <c r="CK6" s="21">
        <f t="shared" si="0"/>
        <v>0</v>
      </c>
      <c r="CL6" s="21">
        <f>BY6+BX6</f>
        <v>0</v>
      </c>
      <c r="CM6" s="21">
        <f>'Define Scoring Criteria'!$N$9*B6*G6</f>
        <v>0</v>
      </c>
      <c r="CN6" s="21">
        <f t="shared" ref="CN6:CY6" si="1">BZ6+$CM6</f>
        <v>0</v>
      </c>
      <c r="CO6" s="21">
        <f t="shared" si="1"/>
        <v>0</v>
      </c>
      <c r="CP6" s="21">
        <f t="shared" si="1"/>
        <v>0</v>
      </c>
      <c r="CQ6" s="21">
        <f t="shared" si="1"/>
        <v>0</v>
      </c>
      <c r="CR6" s="21">
        <f t="shared" si="1"/>
        <v>0</v>
      </c>
      <c r="CS6" s="21">
        <f t="shared" si="1"/>
        <v>0</v>
      </c>
      <c r="CT6" s="21">
        <f t="shared" si="1"/>
        <v>0</v>
      </c>
      <c r="CU6" s="21">
        <f t="shared" si="1"/>
        <v>0</v>
      </c>
      <c r="CV6" s="21">
        <f t="shared" si="1"/>
        <v>0</v>
      </c>
      <c r="CW6" s="21">
        <f t="shared" si="1"/>
        <v>0</v>
      </c>
      <c r="CX6" s="21">
        <f t="shared" si="1"/>
        <v>0</v>
      </c>
      <c r="CY6" s="21">
        <f t="shared" si="1"/>
        <v>0</v>
      </c>
      <c r="CZ6" s="21">
        <f>CM6+CL6</f>
        <v>0</v>
      </c>
      <c r="DA6" t="s">
        <v>70</v>
      </c>
    </row>
  </sheetData>
  <mergeCells count="16">
    <mergeCell ref="DA4:DA5"/>
    <mergeCell ref="F4:F5"/>
    <mergeCell ref="G4:G5"/>
    <mergeCell ref="L4:L5"/>
    <mergeCell ref="BJ4:BJ5"/>
    <mergeCell ref="BK4:BK5"/>
    <mergeCell ref="BX4:BX5"/>
    <mergeCell ref="BY4:BY5"/>
    <mergeCell ref="CL4:CL5"/>
    <mergeCell ref="CM4:CM5"/>
    <mergeCell ref="CZ4:CZ5"/>
    <mergeCell ref="E4:E5"/>
    <mergeCell ref="A4:A5"/>
    <mergeCell ref="B4:B5"/>
    <mergeCell ref="C4:C5"/>
    <mergeCell ref="D4:D5"/>
  </mergeCells>
  <conditionalFormatting sqref="G6:K6">
    <cfRule type="containsText" dxfId="0" priority="5" operator="containsText" text="&lt;Input Time&gt;">
      <formula>NOT(ISERROR(SEARCH("&lt;Input Time&gt;",G6)))</formula>
    </cfRule>
  </conditionalFormatting>
  <pageMargins left="0.7" right="0.7" top="0.75" bottom="0.75" header="0.3" footer="0.3"/>
  <pageSetup orientation="portrait" r:id="rId1"/>
  <legacyDrawing r:id="rId2"/>
  <controls>
    <control shapeId="4099" r:id="rId3" name="Check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0" tint="-0.34998626667073579"/>
  </sheetPr>
  <dimension ref="B2:O43"/>
  <sheetViews>
    <sheetView workbookViewId="0">
      <selection activeCell="G32" sqref="G32"/>
    </sheetView>
  </sheetViews>
  <sheetFormatPr defaultColWidth="9.28515625" defaultRowHeight="15"/>
  <cols>
    <col min="1" max="16384" width="9.28515625" style="8"/>
  </cols>
  <sheetData>
    <row r="2" spans="2:15">
      <c r="B2" s="8" t="s">
        <v>9</v>
      </c>
      <c r="D2" s="8" t="s">
        <v>10</v>
      </c>
      <c r="G2" s="8" t="s">
        <v>27</v>
      </c>
      <c r="I2" s="8" t="s">
        <v>67</v>
      </c>
    </row>
    <row r="4" spans="2:15">
      <c r="B4" s="8" t="s">
        <v>124</v>
      </c>
      <c r="D4" s="8" t="s">
        <v>11</v>
      </c>
      <c r="G4" s="8" t="s">
        <v>73</v>
      </c>
      <c r="I4" s="8" t="s">
        <v>68</v>
      </c>
    </row>
    <row r="5" spans="2:15">
      <c r="B5" s="8" t="s">
        <v>82</v>
      </c>
      <c r="D5" s="8" t="s">
        <v>134</v>
      </c>
      <c r="G5" s="8" t="s">
        <v>150</v>
      </c>
      <c r="I5" s="8" t="s">
        <v>69</v>
      </c>
    </row>
    <row r="6" spans="2:15">
      <c r="B6" s="8" t="s">
        <v>88</v>
      </c>
      <c r="D6" s="8" t="s">
        <v>12</v>
      </c>
      <c r="G6" s="8" t="s">
        <v>74</v>
      </c>
    </row>
    <row r="7" spans="2:15">
      <c r="B7" s="8" t="s">
        <v>130</v>
      </c>
      <c r="D7" s="8" t="s">
        <v>13</v>
      </c>
      <c r="G7" s="8" t="s">
        <v>151</v>
      </c>
    </row>
    <row r="8" spans="2:15">
      <c r="B8" s="8" t="s">
        <v>87</v>
      </c>
      <c r="D8" s="8" t="s">
        <v>135</v>
      </c>
      <c r="G8" s="8" t="s">
        <v>147</v>
      </c>
      <c r="O8" s="9"/>
    </row>
    <row r="9" spans="2:15">
      <c r="B9" s="8" t="s">
        <v>129</v>
      </c>
      <c r="D9" s="8" t="s">
        <v>14</v>
      </c>
      <c r="G9" s="8" t="s">
        <v>146</v>
      </c>
      <c r="O9" s="9"/>
    </row>
    <row r="10" spans="2:15">
      <c r="B10" s="8" t="s">
        <v>81</v>
      </c>
      <c r="D10" s="8" t="s">
        <v>15</v>
      </c>
      <c r="G10" s="8" t="s">
        <v>152</v>
      </c>
      <c r="O10" s="9"/>
    </row>
    <row r="11" spans="2:15">
      <c r="B11" s="8" t="s">
        <v>123</v>
      </c>
      <c r="D11" s="8" t="s">
        <v>136</v>
      </c>
      <c r="G11" s="8" t="s">
        <v>153</v>
      </c>
    </row>
    <row r="12" spans="2:15">
      <c r="B12" s="8" t="s">
        <v>79</v>
      </c>
      <c r="D12" s="8" t="s">
        <v>16</v>
      </c>
      <c r="G12" s="8" t="s">
        <v>154</v>
      </c>
    </row>
    <row r="13" spans="2:15">
      <c r="B13" s="8" t="s">
        <v>80</v>
      </c>
      <c r="D13" s="8" t="s">
        <v>17</v>
      </c>
      <c r="G13" s="8" t="s">
        <v>155</v>
      </c>
    </row>
    <row r="14" spans="2:15">
      <c r="B14" s="8" t="s">
        <v>83</v>
      </c>
      <c r="D14" s="8" t="s">
        <v>137</v>
      </c>
      <c r="G14" s="8" t="s">
        <v>156</v>
      </c>
    </row>
    <row r="15" spans="2:15">
      <c r="B15" s="8" t="s">
        <v>84</v>
      </c>
      <c r="D15" s="8" t="s">
        <v>18</v>
      </c>
      <c r="G15" s="8" t="s">
        <v>157</v>
      </c>
    </row>
    <row r="16" spans="2:15">
      <c r="B16" s="8" t="s">
        <v>85</v>
      </c>
      <c r="D16" s="8" t="s">
        <v>19</v>
      </c>
      <c r="G16" s="8" t="s">
        <v>158</v>
      </c>
    </row>
    <row r="17" spans="2:7">
      <c r="B17" s="8" t="s">
        <v>86</v>
      </c>
      <c r="D17" s="8" t="s">
        <v>138</v>
      </c>
      <c r="G17" s="8" t="s">
        <v>159</v>
      </c>
    </row>
    <row r="18" spans="2:7">
      <c r="B18" s="8" t="s">
        <v>89</v>
      </c>
      <c r="D18" s="8" t="s">
        <v>20</v>
      </c>
      <c r="G18" s="8" t="s">
        <v>160</v>
      </c>
    </row>
    <row r="19" spans="2:7">
      <c r="B19" s="8" t="s">
        <v>90</v>
      </c>
      <c r="D19" s="8" t="s">
        <v>21</v>
      </c>
      <c r="G19" s="8" t="s">
        <v>161</v>
      </c>
    </row>
    <row r="20" spans="2:7">
      <c r="B20" s="8" t="s">
        <v>91</v>
      </c>
      <c r="D20" s="8" t="s">
        <v>139</v>
      </c>
    </row>
    <row r="21" spans="2:7">
      <c r="B21" s="8" t="s">
        <v>92</v>
      </c>
      <c r="D21" s="8" t="s">
        <v>22</v>
      </c>
    </row>
    <row r="22" spans="2:7">
      <c r="B22" s="8" t="s">
        <v>121</v>
      </c>
      <c r="D22" s="8" t="s">
        <v>94</v>
      </c>
    </row>
    <row r="23" spans="2:7">
      <c r="B23" s="8" t="s">
        <v>122</v>
      </c>
      <c r="D23" s="8" t="s">
        <v>95</v>
      </c>
    </row>
    <row r="24" spans="2:7">
      <c r="B24" s="8" t="s">
        <v>125</v>
      </c>
      <c r="D24" s="8" t="s">
        <v>96</v>
      </c>
    </row>
    <row r="25" spans="2:7">
      <c r="B25" s="8" t="s">
        <v>126</v>
      </c>
      <c r="D25" s="8" t="s">
        <v>140</v>
      </c>
    </row>
    <row r="26" spans="2:7">
      <c r="B26" s="8" t="s">
        <v>127</v>
      </c>
      <c r="D26" s="8" t="s">
        <v>97</v>
      </c>
    </row>
    <row r="27" spans="2:7">
      <c r="B27" s="8" t="s">
        <v>128</v>
      </c>
      <c r="D27" s="8" t="s">
        <v>98</v>
      </c>
    </row>
    <row r="28" spans="2:7">
      <c r="B28" s="8" t="s">
        <v>131</v>
      </c>
      <c r="D28" s="8" t="s">
        <v>141</v>
      </c>
    </row>
    <row r="29" spans="2:7">
      <c r="B29" s="8" t="s">
        <v>132</v>
      </c>
      <c r="D29" s="8" t="s">
        <v>99</v>
      </c>
    </row>
    <row r="30" spans="2:7">
      <c r="B30" s="8" t="s">
        <v>133</v>
      </c>
      <c r="D30" s="8" t="s">
        <v>100</v>
      </c>
    </row>
    <row r="31" spans="2:7">
      <c r="B31" s="8" t="s">
        <v>93</v>
      </c>
      <c r="D31" s="8" t="s">
        <v>142</v>
      </c>
    </row>
    <row r="32" spans="2:7">
      <c r="D32" s="8" t="s">
        <v>101</v>
      </c>
    </row>
    <row r="33" spans="4:4">
      <c r="D33" s="8" t="s">
        <v>102</v>
      </c>
    </row>
    <row r="34" spans="4:4">
      <c r="D34" s="8" t="s">
        <v>143</v>
      </c>
    </row>
    <row r="35" spans="4:4">
      <c r="D35" s="8" t="s">
        <v>103</v>
      </c>
    </row>
    <row r="36" spans="4:4">
      <c r="D36" s="8" t="s">
        <v>104</v>
      </c>
    </row>
    <row r="37" spans="4:4">
      <c r="D37" s="8" t="s">
        <v>144</v>
      </c>
    </row>
    <row r="38" spans="4:4">
      <c r="D38" s="8" t="s">
        <v>105</v>
      </c>
    </row>
    <row r="39" spans="4:4">
      <c r="D39" s="8" t="s">
        <v>106</v>
      </c>
    </row>
    <row r="40" spans="4:4">
      <c r="D40" s="8" t="s">
        <v>145</v>
      </c>
    </row>
    <row r="41" spans="4:4">
      <c r="D41" s="8" t="s">
        <v>107</v>
      </c>
    </row>
    <row r="42" spans="4:4">
      <c r="D42" s="8" t="s">
        <v>119</v>
      </c>
    </row>
    <row r="43" spans="4:4">
      <c r="D43" s="8" t="s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Open SAP Model</vt:lpstr>
      <vt:lpstr>Define Scoring Criteria</vt:lpstr>
      <vt:lpstr>Overall Score History</vt:lpstr>
      <vt:lpstr>List Ref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Giffin</dc:creator>
  <cp:lastModifiedBy>Brian Giffin</cp:lastModifiedBy>
  <dcterms:created xsi:type="dcterms:W3CDTF">2014-06-11T01:15:27Z</dcterms:created>
  <dcterms:modified xsi:type="dcterms:W3CDTF">2016-09-12T17:44:54Z</dcterms:modified>
</cp:coreProperties>
</file>