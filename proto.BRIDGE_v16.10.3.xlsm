
<file path=[Content_Types].xml><?xml version="1.0" encoding="utf-8"?>
<Types xmlns="http://schemas.openxmlformats.org/package/2006/content-types"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emf" ContentType="image/x-emf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vbaProject.bin" ContentType="application/vnd.ms-office.vbaProject"/>
  <Override PartName="/xl/ctrlProps/ctrlProp17.xml" ContentType="application/vnd.ms-excel.controlproperti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trlProps/ctrlProp16.xml" ContentType="application/vnd.ms-excel.controlproperties+xml"/>
  <Override PartName="/xl/ctrlProps/ctrlProp15.xml" ContentType="application/vnd.ms-excel.controlproperties+xml"/>
  <Override PartName="/xl/ctrlProps/ctrlProp9.xml" ContentType="application/vnd.ms-excel.controlpropertie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8.xml" ContentType="application/vnd.ms-excel.controlproperties+xml"/>
  <Override PartName="/xl/ctrlProps/ctrlProp7.xml" ContentType="application/vnd.ms-excel.control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ctrlProps/ctrlProp12.xml" ContentType="application/vnd.ms-excel.controlproperties+xml"/>
  <Override PartName="/xl/ctrlProps/ctrlProp11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sharedStrings.xml" ContentType="application/vnd.openxmlformats-officedocument.spreadsheetml.sharedStrings+xml"/>
  <Override PartName="/xl/ctrlProps/ctrlProp10.xml" ContentType="application/vnd.ms-excel.controlproperties+xml"/>
  <Override PartName="/xl/ctrlProps/ctrlProp4.xml" ContentType="application/vnd.ms-excel.controlproperties+xml"/>
  <Override PartName="/xl/ctrlProps/ctrlProp3.xml" ContentType="application/vnd.ms-excel.controlpropertie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  <Default Extension="bin" ContentType="application/vnd.openxmlformats-officedocument.spreadsheetml.printerSettings"/>
  <Default Extension="png" ContentType="image/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0" yWindow="0" windowWidth="19200" windowHeight="6735" firstSheet="3" activeTab="3"/>
  </bookViews>
  <sheets>
    <sheet name="Import Layer Names" sheetId="1" r:id="rId1"/>
    <sheet name="Define Dir" sheetId="3" r:id="rId2"/>
    <sheet name="Restraint Config" sheetId="8" r:id="rId3"/>
    <sheet name="Assign Frame Sections" sheetId="5" r:id="rId4"/>
    <sheet name="Define Points" sheetId="10" r:id="rId5"/>
    <sheet name="Define Load Patterns" sheetId="9" r:id="rId6"/>
    <sheet name="Tubing Database" sheetId="7" r:id="rId7"/>
    <sheet name="ACAD Lines" sheetId="4" r:id="rId8"/>
    <sheet name="List Ref" sheetId="2" r:id="rId9"/>
  </sheets>
  <functionGroups/>
  <calcPr calcId="125725"/>
</workbook>
</file>

<file path=xl/calcChain.xml><?xml version="1.0" encoding="utf-8"?>
<calcChain xmlns="http://schemas.openxmlformats.org/spreadsheetml/2006/main">
  <c r="F17" i="10"/>
  <c r="I42" i="9"/>
  <c r="H42" s="1"/>
  <c r="F23" i="10"/>
  <c r="F22"/>
  <c r="F21"/>
  <c r="F20"/>
  <c r="F19"/>
  <c r="F18"/>
  <c r="AA9" i="4" l="1"/>
  <c r="AA13" s="1"/>
  <c r="Z9"/>
  <c r="Y9"/>
  <c r="AA8"/>
  <c r="Z12" s="1"/>
  <c r="Z8"/>
  <c r="Y8"/>
  <c r="AA7"/>
  <c r="Z7"/>
  <c r="Z11" s="1"/>
  <c r="Y7"/>
  <c r="AA5"/>
  <c r="Z5"/>
  <c r="Y5"/>
  <c r="AA4"/>
  <c r="Z4"/>
  <c r="Y4"/>
  <c r="AA3"/>
  <c r="AA12" s="1"/>
  <c r="Z3"/>
  <c r="Y3"/>
  <c r="K5" i="10"/>
  <c r="Z13" i="4" l="1"/>
  <c r="Y11"/>
  <c r="N232" s="1"/>
  <c r="AA11"/>
  <c r="P19"/>
  <c r="P39"/>
  <c r="P43"/>
  <c r="P61"/>
  <c r="P83"/>
  <c r="P85"/>
  <c r="M8"/>
  <c r="M30"/>
  <c r="M32"/>
  <c r="M52"/>
  <c r="M72"/>
  <c r="M76"/>
  <c r="M94"/>
  <c r="M116"/>
  <c r="M118"/>
  <c r="M136"/>
  <c r="M158"/>
  <c r="M160"/>
  <c r="P12"/>
  <c r="P52"/>
  <c r="P60"/>
  <c r="P96"/>
  <c r="P125"/>
  <c r="M129"/>
  <c r="M153"/>
  <c r="M179"/>
  <c r="M181"/>
  <c r="M201"/>
  <c r="M221"/>
  <c r="M225"/>
  <c r="M11"/>
  <c r="M55"/>
  <c r="M59"/>
  <c r="M95"/>
  <c r="P115"/>
  <c r="M119"/>
  <c r="P138"/>
  <c r="M159"/>
  <c r="P162"/>
  <c r="P179"/>
  <c r="P195"/>
  <c r="P197"/>
  <c r="P211"/>
  <c r="P227"/>
  <c r="P229"/>
  <c r="P243"/>
  <c r="P259"/>
  <c r="P261"/>
  <c r="P275"/>
  <c r="P291"/>
  <c r="P293"/>
  <c r="P307"/>
  <c r="P323"/>
  <c r="P325"/>
  <c r="P333"/>
  <c r="P341"/>
  <c r="P349"/>
  <c r="P355"/>
  <c r="P34"/>
  <c r="P58"/>
  <c r="P66"/>
  <c r="P121"/>
  <c r="M125"/>
  <c r="P144"/>
  <c r="P169"/>
  <c r="M25"/>
  <c r="M49"/>
  <c r="M89"/>
  <c r="P102"/>
  <c r="P111"/>
  <c r="M147"/>
  <c r="P150"/>
  <c r="P176"/>
  <c r="P192"/>
  <c r="P208"/>
  <c r="P220"/>
  <c r="P240"/>
  <c r="P248"/>
  <c r="M252"/>
  <c r="M269"/>
  <c r="P272"/>
  <c r="M284"/>
  <c r="M293"/>
  <c r="P304"/>
  <c r="P312"/>
  <c r="M325"/>
  <c r="M333"/>
  <c r="P336"/>
  <c r="M13"/>
  <c r="M29"/>
  <c r="M93"/>
  <c r="P151"/>
  <c r="M188"/>
  <c r="M204"/>
  <c r="P234"/>
  <c r="P242"/>
  <c r="M246"/>
  <c r="M272"/>
  <c r="P274"/>
  <c r="M297"/>
  <c r="M304"/>
  <c r="P326"/>
  <c r="P332"/>
  <c r="P356"/>
  <c r="M363"/>
  <c r="M365"/>
  <c r="M379"/>
  <c r="M381"/>
  <c r="M389"/>
  <c r="M397"/>
  <c r="M405"/>
  <c r="M411"/>
  <c r="M421"/>
  <c r="M427"/>
  <c r="M429"/>
  <c r="M443"/>
  <c r="M445"/>
  <c r="M453"/>
  <c r="P3"/>
  <c r="P278"/>
  <c r="P290"/>
  <c r="M326"/>
  <c r="M352"/>
  <c r="M356"/>
  <c r="M384"/>
  <c r="M388"/>
  <c r="M398"/>
  <c r="M408"/>
  <c r="M416"/>
  <c r="P6"/>
  <c r="P70"/>
  <c r="P86"/>
  <c r="M101"/>
  <c r="P136"/>
  <c r="M165"/>
  <c r="P182"/>
  <c r="P198"/>
  <c r="P214"/>
  <c r="M216"/>
  <c r="M234"/>
  <c r="M241"/>
  <c r="P244"/>
  <c r="M254"/>
  <c r="M267"/>
  <c r="M274"/>
  <c r="M279"/>
  <c r="M286"/>
  <c r="M299"/>
  <c r="P308"/>
  <c r="M312"/>
  <c r="P314"/>
  <c r="M337"/>
  <c r="M338"/>
  <c r="M344"/>
  <c r="P354"/>
  <c r="P359"/>
  <c r="P363"/>
  <c r="P371"/>
  <c r="P373"/>
  <c r="P375"/>
  <c r="P383"/>
  <c r="P387"/>
  <c r="P391"/>
  <c r="P397"/>
  <c r="P403"/>
  <c r="P405"/>
  <c r="P413"/>
  <c r="P415"/>
  <c r="P419"/>
  <c r="P427"/>
  <c r="P429"/>
  <c r="P435"/>
  <c r="P439"/>
  <c r="P445"/>
  <c r="P447"/>
  <c r="P455"/>
  <c r="P459"/>
  <c r="M3"/>
  <c r="M53"/>
  <c r="M69"/>
  <c r="M107"/>
  <c r="M139"/>
  <c r="P167"/>
  <c r="P174"/>
  <c r="P194"/>
  <c r="M196"/>
  <c r="M198"/>
  <c r="P226"/>
  <c r="M243"/>
  <c r="M249"/>
  <c r="M255"/>
  <c r="M282"/>
  <c r="P284"/>
  <c r="M313"/>
  <c r="M320"/>
  <c r="M339"/>
  <c r="M357"/>
  <c r="M362"/>
  <c r="M372"/>
  <c r="M382"/>
  <c r="M396"/>
  <c r="M402"/>
  <c r="M418"/>
  <c r="M458"/>
  <c r="M442"/>
  <c r="M426"/>
  <c r="P394"/>
  <c r="P370"/>
  <c r="P362"/>
  <c r="M224"/>
  <c r="P458"/>
  <c r="P454"/>
  <c r="N449"/>
  <c r="P442"/>
  <c r="P434"/>
  <c r="P408"/>
  <c r="P400"/>
  <c r="P392"/>
  <c r="P360"/>
  <c r="M321"/>
  <c r="M283"/>
  <c r="M240"/>
  <c r="M226"/>
  <c r="P190"/>
  <c r="N20"/>
  <c r="K13"/>
  <c r="K97"/>
  <c r="N23"/>
  <c r="K164"/>
  <c r="K26"/>
  <c r="N165"/>
  <c r="N212"/>
  <c r="N254"/>
  <c r="N296"/>
  <c r="N340"/>
  <c r="N93"/>
  <c r="K36"/>
  <c r="N175"/>
  <c r="K247"/>
  <c r="K288"/>
  <c r="N331"/>
  <c r="K102"/>
  <c r="K217"/>
  <c r="N279"/>
  <c r="K340"/>
  <c r="K374"/>
  <c r="K406"/>
  <c r="K438"/>
  <c r="K298"/>
  <c r="K403"/>
  <c r="K144"/>
  <c r="N225"/>
  <c r="K265"/>
  <c r="K297"/>
  <c r="K348"/>
  <c r="N372"/>
  <c r="N390"/>
  <c r="N414"/>
  <c r="N436"/>
  <c r="N454"/>
  <c r="N146"/>
  <c r="N205"/>
  <c r="K239"/>
  <c r="K273"/>
  <c r="K325"/>
  <c r="K361"/>
  <c r="K391"/>
  <c r="K417"/>
  <c r="L314"/>
  <c r="M454"/>
  <c r="O443"/>
  <c r="M430"/>
  <c r="N397"/>
  <c r="M296"/>
  <c r="M258"/>
  <c r="P238"/>
  <c r="N131"/>
  <c r="Y12"/>
  <c r="L378" s="1"/>
  <c r="Y13"/>
  <c r="P21" s="1"/>
  <c r="I41" i="9"/>
  <c r="H41" s="1"/>
  <c r="H40"/>
  <c r="I40" s="1"/>
  <c r="G40"/>
  <c r="G41"/>
  <c r="G38"/>
  <c r="H38"/>
  <c r="I38" s="1"/>
  <c r="I39"/>
  <c r="H39" s="1"/>
  <c r="G39"/>
  <c r="I37"/>
  <c r="H37" s="1"/>
  <c r="G37"/>
  <c r="G35"/>
  <c r="H34"/>
  <c r="I34" s="1"/>
  <c r="G34"/>
  <c r="G32"/>
  <c r="I33"/>
  <c r="H33" s="1"/>
  <c r="G33"/>
  <c r="H32"/>
  <c r="I32" s="1"/>
  <c r="I31"/>
  <c r="H31" s="1"/>
  <c r="G31"/>
  <c r="H30"/>
  <c r="I30" s="1"/>
  <c r="G30"/>
  <c r="G29"/>
  <c r="H28"/>
  <c r="I28" s="1"/>
  <c r="G28"/>
  <c r="I29"/>
  <c r="H29" s="1"/>
  <c r="I27"/>
  <c r="H27" s="1"/>
  <c r="G27"/>
  <c r="G26"/>
  <c r="H26"/>
  <c r="I26" s="1"/>
  <c r="I25"/>
  <c r="H25" s="1"/>
  <c r="G25"/>
  <c r="I35"/>
  <c r="H35" s="1"/>
  <c r="G36"/>
  <c r="H36"/>
  <c r="I36" s="1"/>
  <c r="H22"/>
  <c r="I22" s="1"/>
  <c r="G22"/>
  <c r="G20"/>
  <c r="I21"/>
  <c r="H21" s="1"/>
  <c r="G21"/>
  <c r="H20"/>
  <c r="I20" s="1"/>
  <c r="I19"/>
  <c r="H19" s="1"/>
  <c r="G19"/>
  <c r="H18"/>
  <c r="I18" s="1"/>
  <c r="G18"/>
  <c r="G17"/>
  <c r="I17"/>
  <c r="H17" s="1"/>
  <c r="H16"/>
  <c r="I16" s="1"/>
  <c r="G16"/>
  <c r="I15"/>
  <c r="H15" s="1"/>
  <c r="G15"/>
  <c r="G14"/>
  <c r="I14"/>
  <c r="H14"/>
  <c r="I13"/>
  <c r="H13" s="1"/>
  <c r="G13"/>
  <c r="H12"/>
  <c r="I12" s="1"/>
  <c r="G12"/>
  <c r="G11"/>
  <c r="I10"/>
  <c r="H10"/>
  <c r="G10"/>
  <c r="I9"/>
  <c r="H9" s="1"/>
  <c r="G9"/>
  <c r="G8"/>
  <c r="I11"/>
  <c r="H11" s="1"/>
  <c r="H8"/>
  <c r="I8" s="1"/>
  <c r="I7"/>
  <c r="H7" s="1"/>
  <c r="G7"/>
  <c r="G23"/>
  <c r="I23"/>
  <c r="H23" s="1"/>
  <c r="G24"/>
  <c r="H24"/>
  <c r="I24" s="1"/>
  <c r="K441" i="4" l="1"/>
  <c r="K421"/>
  <c r="K395"/>
  <c r="K330"/>
  <c r="K254"/>
  <c r="K207"/>
  <c r="K32"/>
  <c r="N420"/>
  <c r="N398"/>
  <c r="K354"/>
  <c r="K278"/>
  <c r="K246"/>
  <c r="K419"/>
  <c r="K446"/>
  <c r="K382"/>
  <c r="K289"/>
  <c r="N137"/>
  <c r="N299"/>
  <c r="K256"/>
  <c r="K84"/>
  <c r="N350"/>
  <c r="N264"/>
  <c r="N180"/>
  <c r="K70"/>
  <c r="N67"/>
  <c r="K33"/>
  <c r="N413"/>
  <c r="L360"/>
  <c r="L434"/>
  <c r="K401"/>
  <c r="K377"/>
  <c r="N353"/>
  <c r="K292"/>
  <c r="K260"/>
  <c r="K223"/>
  <c r="K177"/>
  <c r="K80"/>
  <c r="N446"/>
  <c r="N422"/>
  <c r="N404"/>
  <c r="N382"/>
  <c r="N357"/>
  <c r="K323"/>
  <c r="N287"/>
  <c r="N249"/>
  <c r="K195"/>
  <c r="N49"/>
  <c r="K365"/>
  <c r="K454"/>
  <c r="K422"/>
  <c r="K390"/>
  <c r="K356"/>
  <c r="K309"/>
  <c r="K250"/>
  <c r="N181"/>
  <c r="K352"/>
  <c r="K311"/>
  <c r="N267"/>
  <c r="N215"/>
  <c r="N122"/>
  <c r="K152"/>
  <c r="N5"/>
  <c r="N318"/>
  <c r="N276"/>
  <c r="N190"/>
  <c r="N109"/>
  <c r="K210"/>
  <c r="N104"/>
  <c r="K141"/>
  <c r="K55"/>
  <c r="N62"/>
  <c r="K339"/>
  <c r="M210"/>
  <c r="M353"/>
  <c r="P410"/>
  <c r="M446"/>
  <c r="K409"/>
  <c r="K381"/>
  <c r="K359"/>
  <c r="K318"/>
  <c r="K261"/>
  <c r="K225"/>
  <c r="K193"/>
  <c r="K96"/>
  <c r="N452"/>
  <c r="N430"/>
  <c r="N406"/>
  <c r="N388"/>
  <c r="N366"/>
  <c r="N325"/>
  <c r="N293"/>
  <c r="K258"/>
  <c r="K197"/>
  <c r="N108"/>
  <c r="K383"/>
  <c r="N269"/>
  <c r="K430"/>
  <c r="K398"/>
  <c r="K366"/>
  <c r="N317"/>
  <c r="K270"/>
  <c r="K199"/>
  <c r="K56"/>
  <c r="K320"/>
  <c r="K279"/>
  <c r="N231"/>
  <c r="N145"/>
  <c r="K175"/>
  <c r="N53"/>
  <c r="N328"/>
  <c r="N286"/>
  <c r="N244"/>
  <c r="N200"/>
  <c r="N134"/>
  <c r="K232"/>
  <c r="N135"/>
  <c r="K161"/>
  <c r="K77"/>
  <c r="N84"/>
  <c r="M149"/>
  <c r="M264"/>
  <c r="P376"/>
  <c r="P426"/>
  <c r="P450"/>
  <c r="K268"/>
  <c r="P386"/>
  <c r="M434"/>
  <c r="M410"/>
  <c r="M378"/>
  <c r="P348"/>
  <c r="M287"/>
  <c r="P252"/>
  <c r="M214"/>
  <c r="P178"/>
  <c r="P110"/>
  <c r="M37"/>
  <c r="P451"/>
  <c r="P437"/>
  <c r="P423"/>
  <c r="P407"/>
  <c r="P395"/>
  <c r="P381"/>
  <c r="P365"/>
  <c r="P346"/>
  <c r="P334"/>
  <c r="M305"/>
  <c r="P276"/>
  <c r="M248"/>
  <c r="M218"/>
  <c r="M186"/>
  <c r="M133"/>
  <c r="P22"/>
  <c r="M400"/>
  <c r="M374"/>
  <c r="M307"/>
  <c r="M459"/>
  <c r="M437"/>
  <c r="M413"/>
  <c r="M395"/>
  <c r="M373"/>
  <c r="M335"/>
  <c r="M303"/>
  <c r="M266"/>
  <c r="M206"/>
  <c r="P126"/>
  <c r="M348"/>
  <c r="M316"/>
  <c r="M292"/>
  <c r="M261"/>
  <c r="P224"/>
  <c r="P188"/>
  <c r="M131"/>
  <c r="M57"/>
  <c r="P160"/>
  <c r="P105"/>
  <c r="P357"/>
  <c r="P339"/>
  <c r="P309"/>
  <c r="P277"/>
  <c r="P245"/>
  <c r="P213"/>
  <c r="P181"/>
  <c r="P139"/>
  <c r="P98"/>
  <c r="M15"/>
  <c r="M203"/>
  <c r="P157"/>
  <c r="P100"/>
  <c r="P16"/>
  <c r="M140"/>
  <c r="M96"/>
  <c r="M54"/>
  <c r="M12"/>
  <c r="P63"/>
  <c r="N41"/>
  <c r="N389"/>
  <c r="K457"/>
  <c r="K375"/>
  <c r="N289"/>
  <c r="N153"/>
  <c r="N438"/>
  <c r="N374"/>
  <c r="K317"/>
  <c r="K179"/>
  <c r="K331"/>
  <c r="K414"/>
  <c r="K347"/>
  <c r="N241"/>
  <c r="K343"/>
  <c r="N195"/>
  <c r="K120"/>
  <c r="N308"/>
  <c r="N222"/>
  <c r="K188"/>
  <c r="K119"/>
  <c r="N42"/>
  <c r="L52"/>
  <c r="O284"/>
  <c r="L308"/>
  <c r="L364"/>
  <c r="L396"/>
  <c r="O437"/>
  <c r="O453"/>
  <c r="O199"/>
  <c r="O213"/>
  <c r="O246"/>
  <c r="O317"/>
  <c r="L388"/>
  <c r="L420"/>
  <c r="O433"/>
  <c r="O449"/>
  <c r="L110"/>
  <c r="O138"/>
  <c r="L228"/>
  <c r="O279"/>
  <c r="O336"/>
  <c r="L380"/>
  <c r="L412"/>
  <c r="O429"/>
  <c r="O445"/>
  <c r="L167"/>
  <c r="L256"/>
  <c r="L346"/>
  <c r="L372"/>
  <c r="L404"/>
  <c r="O425"/>
  <c r="O441"/>
  <c r="O457"/>
  <c r="L7"/>
  <c r="L15"/>
  <c r="L23"/>
  <c r="L31"/>
  <c r="L39"/>
  <c r="L47"/>
  <c r="L55"/>
  <c r="L63"/>
  <c r="L71"/>
  <c r="L79"/>
  <c r="L87"/>
  <c r="L95"/>
  <c r="O9"/>
  <c r="O17"/>
  <c r="O25"/>
  <c r="O33"/>
  <c r="O41"/>
  <c r="O49"/>
  <c r="O57"/>
  <c r="O65"/>
  <c r="O73"/>
  <c r="O81"/>
  <c r="O89"/>
  <c r="O97"/>
  <c r="O105"/>
  <c r="O113"/>
  <c r="O121"/>
  <c r="O129"/>
  <c r="O137"/>
  <c r="O145"/>
  <c r="O153"/>
  <c r="O161"/>
  <c r="O169"/>
  <c r="L10"/>
  <c r="L26"/>
  <c r="L42"/>
  <c r="L58"/>
  <c r="L74"/>
  <c r="L90"/>
  <c r="O102"/>
  <c r="L114"/>
  <c r="L123"/>
  <c r="O134"/>
  <c r="L146"/>
  <c r="L155"/>
  <c r="O166"/>
  <c r="O176"/>
  <c r="O184"/>
  <c r="O192"/>
  <c r="O200"/>
  <c r="O208"/>
  <c r="O216"/>
  <c r="O224"/>
  <c r="O232"/>
  <c r="O240"/>
  <c r="O16"/>
  <c r="O32"/>
  <c r="O48"/>
  <c r="O64"/>
  <c r="O80"/>
  <c r="O96"/>
  <c r="O108"/>
  <c r="L120"/>
  <c r="L129"/>
  <c r="O140"/>
  <c r="L152"/>
  <c r="L161"/>
  <c r="O172"/>
  <c r="L181"/>
  <c r="L189"/>
  <c r="L197"/>
  <c r="L205"/>
  <c r="L213"/>
  <c r="L221"/>
  <c r="L229"/>
  <c r="L237"/>
  <c r="L245"/>
  <c r="L253"/>
  <c r="L261"/>
  <c r="L269"/>
  <c r="L277"/>
  <c r="L285"/>
  <c r="L293"/>
  <c r="L301"/>
  <c r="L309"/>
  <c r="L317"/>
  <c r="L325"/>
  <c r="L333"/>
  <c r="L341"/>
  <c r="L349"/>
  <c r="L357"/>
  <c r="L32"/>
  <c r="L64"/>
  <c r="L96"/>
  <c r="O114"/>
  <c r="L134"/>
  <c r="L159"/>
  <c r="O14"/>
  <c r="O46"/>
  <c r="O78"/>
  <c r="O104"/>
  <c r="L124"/>
  <c r="L149"/>
  <c r="O168"/>
  <c r="L186"/>
  <c r="L5"/>
  <c r="L13"/>
  <c r="L21"/>
  <c r="L29"/>
  <c r="L37"/>
  <c r="L45"/>
  <c r="L53"/>
  <c r="L61"/>
  <c r="L69"/>
  <c r="L77"/>
  <c r="L85"/>
  <c r="L93"/>
  <c r="O7"/>
  <c r="O15"/>
  <c r="O23"/>
  <c r="O31"/>
  <c r="O39"/>
  <c r="O47"/>
  <c r="O55"/>
  <c r="O63"/>
  <c r="O71"/>
  <c r="O79"/>
  <c r="O87"/>
  <c r="O95"/>
  <c r="O103"/>
  <c r="O111"/>
  <c r="O119"/>
  <c r="O127"/>
  <c r="O135"/>
  <c r="O143"/>
  <c r="O151"/>
  <c r="O159"/>
  <c r="O167"/>
  <c r="L6"/>
  <c r="L22"/>
  <c r="L38"/>
  <c r="L54"/>
  <c r="L70"/>
  <c r="L86"/>
  <c r="L99"/>
  <c r="O110"/>
  <c r="L122"/>
  <c r="L131"/>
  <c r="O142"/>
  <c r="L154"/>
  <c r="L163"/>
  <c r="O174"/>
  <c r="O182"/>
  <c r="O190"/>
  <c r="O198"/>
  <c r="O206"/>
  <c r="O214"/>
  <c r="O222"/>
  <c r="O230"/>
  <c r="O238"/>
  <c r="O12"/>
  <c r="O28"/>
  <c r="O44"/>
  <c r="O60"/>
  <c r="O76"/>
  <c r="O92"/>
  <c r="L105"/>
  <c r="O116"/>
  <c r="L128"/>
  <c r="L137"/>
  <c r="O148"/>
  <c r="L160"/>
  <c r="L169"/>
  <c r="L179"/>
  <c r="L187"/>
  <c r="L195"/>
  <c r="L203"/>
  <c r="L211"/>
  <c r="L219"/>
  <c r="L227"/>
  <c r="L235"/>
  <c r="L243"/>
  <c r="L251"/>
  <c r="L259"/>
  <c r="L267"/>
  <c r="L275"/>
  <c r="L283"/>
  <c r="L291"/>
  <c r="L299"/>
  <c r="L307"/>
  <c r="L315"/>
  <c r="L323"/>
  <c r="L331"/>
  <c r="L339"/>
  <c r="L347"/>
  <c r="L355"/>
  <c r="L24"/>
  <c r="L56"/>
  <c r="L88"/>
  <c r="L111"/>
  <c r="O130"/>
  <c r="L150"/>
  <c r="O6"/>
  <c r="O38"/>
  <c r="O70"/>
  <c r="L101"/>
  <c r="O120"/>
  <c r="L140"/>
  <c r="L165"/>
  <c r="L182"/>
  <c r="L198"/>
  <c r="L214"/>
  <c r="L230"/>
  <c r="O242"/>
  <c r="L254"/>
  <c r="O265"/>
  <c r="O274"/>
  <c r="L286"/>
  <c r="O297"/>
  <c r="O306"/>
  <c r="L318"/>
  <c r="O329"/>
  <c r="O338"/>
  <c r="L350"/>
  <c r="O50"/>
  <c r="O112"/>
  <c r="L148"/>
  <c r="O179"/>
  <c r="L208"/>
  <c r="O225"/>
  <c r="L252"/>
  <c r="O260"/>
  <c r="O280"/>
  <c r="L290"/>
  <c r="O299"/>
  <c r="O319"/>
  <c r="L328"/>
  <c r="O350"/>
  <c r="O358"/>
  <c r="O366"/>
  <c r="O374"/>
  <c r="O382"/>
  <c r="O390"/>
  <c r="O398"/>
  <c r="O406"/>
  <c r="O414"/>
  <c r="O422"/>
  <c r="O430"/>
  <c r="O438"/>
  <c r="O446"/>
  <c r="O454"/>
  <c r="O264"/>
  <c r="O283"/>
  <c r="L312"/>
  <c r="O340"/>
  <c r="O359"/>
  <c r="O375"/>
  <c r="O389"/>
  <c r="O405"/>
  <c r="O421"/>
  <c r="L60"/>
  <c r="O122"/>
  <c r="L158"/>
  <c r="O191"/>
  <c r="L220"/>
  <c r="O237"/>
  <c r="L260"/>
  <c r="O268"/>
  <c r="O288"/>
  <c r="L298"/>
  <c r="O307"/>
  <c r="O327"/>
  <c r="L336"/>
  <c r="O356"/>
  <c r="L365"/>
  <c r="L373"/>
  <c r="L381"/>
  <c r="L389"/>
  <c r="L397"/>
  <c r="L405"/>
  <c r="L413"/>
  <c r="L421"/>
  <c r="L429"/>
  <c r="L437"/>
  <c r="L445"/>
  <c r="L453"/>
  <c r="O10"/>
  <c r="O74"/>
  <c r="O128"/>
  <c r="L164"/>
  <c r="L200"/>
  <c r="O217"/>
  <c r="O235"/>
  <c r="L248"/>
  <c r="O277"/>
  <c r="L306"/>
  <c r="O334"/>
  <c r="O365"/>
  <c r="O383"/>
  <c r="O399"/>
  <c r="O415"/>
  <c r="L11"/>
  <c r="L27"/>
  <c r="L43"/>
  <c r="L59"/>
  <c r="L75"/>
  <c r="L91"/>
  <c r="O13"/>
  <c r="O29"/>
  <c r="O45"/>
  <c r="O61"/>
  <c r="O77"/>
  <c r="O93"/>
  <c r="O109"/>
  <c r="O125"/>
  <c r="O141"/>
  <c r="O157"/>
  <c r="O173"/>
  <c r="L34"/>
  <c r="L66"/>
  <c r="L98"/>
  <c r="O118"/>
  <c r="L139"/>
  <c r="L162"/>
  <c r="O180"/>
  <c r="O196"/>
  <c r="O212"/>
  <c r="O228"/>
  <c r="O8"/>
  <c r="O40"/>
  <c r="O72"/>
  <c r="L104"/>
  <c r="O124"/>
  <c r="L145"/>
  <c r="L168"/>
  <c r="L185"/>
  <c r="L201"/>
  <c r="L217"/>
  <c r="L233"/>
  <c r="L249"/>
  <c r="L265"/>
  <c r="L281"/>
  <c r="L297"/>
  <c r="L313"/>
  <c r="L329"/>
  <c r="L345"/>
  <c r="L16"/>
  <c r="L80"/>
  <c r="L127"/>
  <c r="L166"/>
  <c r="O62"/>
  <c r="L117"/>
  <c r="L156"/>
  <c r="L194"/>
  <c r="L218"/>
  <c r="L238"/>
  <c r="O250"/>
  <c r="O266"/>
  <c r="O281"/>
  <c r="L294"/>
  <c r="L310"/>
  <c r="O322"/>
  <c r="O337"/>
  <c r="O353"/>
  <c r="O82"/>
  <c r="O144"/>
  <c r="L192"/>
  <c r="O211"/>
  <c r="O248"/>
  <c r="O261"/>
  <c r="O286"/>
  <c r="L296"/>
  <c r="L322"/>
  <c r="O344"/>
  <c r="O357"/>
  <c r="O368"/>
  <c r="O378"/>
  <c r="O388"/>
  <c r="O400"/>
  <c r="O410"/>
  <c r="O420"/>
  <c r="O432"/>
  <c r="O442"/>
  <c r="O452"/>
  <c r="O271"/>
  <c r="O302"/>
  <c r="L338"/>
  <c r="O361"/>
  <c r="O381"/>
  <c r="O401"/>
  <c r="L12"/>
  <c r="L92"/>
  <c r="O154"/>
  <c r="L204"/>
  <c r="O223"/>
  <c r="O256"/>
  <c r="O269"/>
  <c r="O294"/>
  <c r="L304"/>
  <c r="L330"/>
  <c r="O352"/>
  <c r="L363"/>
  <c r="L375"/>
  <c r="L385"/>
  <c r="L395"/>
  <c r="L407"/>
  <c r="L417"/>
  <c r="L427"/>
  <c r="L439"/>
  <c r="L449"/>
  <c r="L459"/>
  <c r="O90"/>
  <c r="L157"/>
  <c r="O187"/>
  <c r="O219"/>
  <c r="O244"/>
  <c r="O270"/>
  <c r="O308"/>
  <c r="L344"/>
  <c r="O379"/>
  <c r="O403"/>
  <c r="L9"/>
  <c r="L25"/>
  <c r="L41"/>
  <c r="L57"/>
  <c r="L73"/>
  <c r="L89"/>
  <c r="O11"/>
  <c r="O27"/>
  <c r="O43"/>
  <c r="O59"/>
  <c r="O75"/>
  <c r="O91"/>
  <c r="O107"/>
  <c r="O123"/>
  <c r="O139"/>
  <c r="O155"/>
  <c r="O171"/>
  <c r="L30"/>
  <c r="L62"/>
  <c r="L94"/>
  <c r="L115"/>
  <c r="L138"/>
  <c r="O158"/>
  <c r="O178"/>
  <c r="O194"/>
  <c r="O210"/>
  <c r="O226"/>
  <c r="O4"/>
  <c r="O36"/>
  <c r="O68"/>
  <c r="O100"/>
  <c r="L121"/>
  <c r="L144"/>
  <c r="O164"/>
  <c r="L183"/>
  <c r="L199"/>
  <c r="L215"/>
  <c r="L231"/>
  <c r="L247"/>
  <c r="L263"/>
  <c r="L279"/>
  <c r="L295"/>
  <c r="L311"/>
  <c r="L327"/>
  <c r="L343"/>
  <c r="L8"/>
  <c r="L72"/>
  <c r="L118"/>
  <c r="O162"/>
  <c r="O54"/>
  <c r="L108"/>
  <c r="O152"/>
  <c r="L190"/>
  <c r="L210"/>
  <c r="L234"/>
  <c r="O249"/>
  <c r="L262"/>
  <c r="L278"/>
  <c r="O290"/>
  <c r="O305"/>
  <c r="O321"/>
  <c r="L334"/>
  <c r="O346"/>
  <c r="O66"/>
  <c r="L141"/>
  <c r="O177"/>
  <c r="O209"/>
  <c r="L240"/>
  <c r="L258"/>
  <c r="L284"/>
  <c r="O293"/>
  <c r="O318"/>
  <c r="O331"/>
  <c r="L354"/>
  <c r="O364"/>
  <c r="O376"/>
  <c r="O386"/>
  <c r="O396"/>
  <c r="O408"/>
  <c r="O418"/>
  <c r="O428"/>
  <c r="O440"/>
  <c r="O450"/>
  <c r="L3"/>
  <c r="L300"/>
  <c r="O335"/>
  <c r="L358"/>
  <c r="O377"/>
  <c r="O395"/>
  <c r="O417"/>
  <c r="L76"/>
  <c r="L151"/>
  <c r="O189"/>
  <c r="O221"/>
  <c r="O243"/>
  <c r="L266"/>
  <c r="L292"/>
  <c r="O301"/>
  <c r="O326"/>
  <c r="O339"/>
  <c r="L361"/>
  <c r="L371"/>
  <c r="L383"/>
  <c r="L393"/>
  <c r="L403"/>
  <c r="L415"/>
  <c r="L425"/>
  <c r="L435"/>
  <c r="L447"/>
  <c r="L457"/>
  <c r="O58"/>
  <c r="L132"/>
  <c r="O185"/>
  <c r="L216"/>
  <c r="L242"/>
  <c r="L268"/>
  <c r="O303"/>
  <c r="O341"/>
  <c r="O373"/>
  <c r="O397"/>
  <c r="O419"/>
  <c r="L438"/>
  <c r="L370"/>
  <c r="L276"/>
  <c r="L142"/>
  <c r="O439"/>
  <c r="L400"/>
  <c r="O343"/>
  <c r="O231"/>
  <c r="L196"/>
  <c r="L452"/>
  <c r="L436"/>
  <c r="L406"/>
  <c r="L374"/>
  <c r="O349"/>
  <c r="O311"/>
  <c r="L19"/>
  <c r="L51"/>
  <c r="L83"/>
  <c r="O21"/>
  <c r="O53"/>
  <c r="O85"/>
  <c r="O117"/>
  <c r="O149"/>
  <c r="L18"/>
  <c r="L82"/>
  <c r="L130"/>
  <c r="L171"/>
  <c r="O204"/>
  <c r="O236"/>
  <c r="O56"/>
  <c r="L113"/>
  <c r="O156"/>
  <c r="L193"/>
  <c r="L225"/>
  <c r="L257"/>
  <c r="L289"/>
  <c r="L321"/>
  <c r="L353"/>
  <c r="L102"/>
  <c r="O30"/>
  <c r="O136"/>
  <c r="L206"/>
  <c r="L246"/>
  <c r="O273"/>
  <c r="L302"/>
  <c r="O330"/>
  <c r="O34"/>
  <c r="L176"/>
  <c r="O227"/>
  <c r="O267"/>
  <c r="L316"/>
  <c r="O351"/>
  <c r="O372"/>
  <c r="O394"/>
  <c r="O416"/>
  <c r="O436"/>
  <c r="O458"/>
  <c r="O328"/>
  <c r="O371"/>
  <c r="O413"/>
  <c r="L126"/>
  <c r="O207"/>
  <c r="O263"/>
  <c r="O300"/>
  <c r="O333"/>
  <c r="L369"/>
  <c r="L391"/>
  <c r="L411"/>
  <c r="L433"/>
  <c r="L455"/>
  <c r="L125"/>
  <c r="O203"/>
  <c r="O251"/>
  <c r="L332"/>
  <c r="O393"/>
  <c r="L418"/>
  <c r="O304"/>
  <c r="O170"/>
  <c r="O447"/>
  <c r="L376"/>
  <c r="O348"/>
  <c r="O310"/>
  <c r="O272"/>
  <c r="L244"/>
  <c r="L103"/>
  <c r="L444"/>
  <c r="L422"/>
  <c r="L366"/>
  <c r="L212"/>
  <c r="L17"/>
  <c r="L49"/>
  <c r="L81"/>
  <c r="O19"/>
  <c r="O51"/>
  <c r="O83"/>
  <c r="O115"/>
  <c r="O147"/>
  <c r="L14"/>
  <c r="L78"/>
  <c r="O126"/>
  <c r="L170"/>
  <c r="O202"/>
  <c r="O234"/>
  <c r="O52"/>
  <c r="L112"/>
  <c r="L153"/>
  <c r="L191"/>
  <c r="L223"/>
  <c r="L255"/>
  <c r="L287"/>
  <c r="L319"/>
  <c r="L351"/>
  <c r="O98"/>
  <c r="O22"/>
  <c r="L133"/>
  <c r="L202"/>
  <c r="O241"/>
  <c r="L270"/>
  <c r="O298"/>
  <c r="L326"/>
  <c r="O18"/>
  <c r="L173"/>
  <c r="L224"/>
  <c r="L264"/>
  <c r="O312"/>
  <c r="L348"/>
  <c r="O370"/>
  <c r="O392"/>
  <c r="O412"/>
  <c r="O434"/>
  <c r="O456"/>
  <c r="O309"/>
  <c r="O367"/>
  <c r="O409"/>
  <c r="L119"/>
  <c r="O205"/>
  <c r="O262"/>
  <c r="O295"/>
  <c r="O332"/>
  <c r="L367"/>
  <c r="L387"/>
  <c r="L409"/>
  <c r="L431"/>
  <c r="L451"/>
  <c r="L100"/>
  <c r="O201"/>
  <c r="O245"/>
  <c r="O315"/>
  <c r="O387"/>
  <c r="L446"/>
  <c r="L356"/>
  <c r="L180"/>
  <c r="L282"/>
  <c r="O3"/>
  <c r="L432"/>
  <c r="L424"/>
  <c r="L398"/>
  <c r="L382"/>
  <c r="O278"/>
  <c r="L250"/>
  <c r="O183"/>
  <c r="O106"/>
  <c r="L442"/>
  <c r="L410"/>
  <c r="L352"/>
  <c r="O252"/>
  <c r="O459"/>
  <c r="O427"/>
  <c r="O181"/>
  <c r="L35"/>
  <c r="L67"/>
  <c r="O5"/>
  <c r="O37"/>
  <c r="O69"/>
  <c r="O101"/>
  <c r="O133"/>
  <c r="O165"/>
  <c r="L50"/>
  <c r="L107"/>
  <c r="O150"/>
  <c r="O188"/>
  <c r="O220"/>
  <c r="O24"/>
  <c r="O88"/>
  <c r="L136"/>
  <c r="L177"/>
  <c r="L209"/>
  <c r="L241"/>
  <c r="L273"/>
  <c r="L305"/>
  <c r="L337"/>
  <c r="L48"/>
  <c r="O146"/>
  <c r="O94"/>
  <c r="L178"/>
  <c r="L226"/>
  <c r="O258"/>
  <c r="O289"/>
  <c r="O314"/>
  <c r="O345"/>
  <c r="L116"/>
  <c r="O195"/>
  <c r="O255"/>
  <c r="O292"/>
  <c r="O325"/>
  <c r="O362"/>
  <c r="O384"/>
  <c r="O404"/>
  <c r="O426"/>
  <c r="O448"/>
  <c r="O276"/>
  <c r="O354"/>
  <c r="O391"/>
  <c r="L44"/>
  <c r="L188"/>
  <c r="O239"/>
  <c r="O275"/>
  <c r="L324"/>
  <c r="L359"/>
  <c r="L379"/>
  <c r="L401"/>
  <c r="L423"/>
  <c r="L443"/>
  <c r="O42"/>
  <c r="L184"/>
  <c r="O233"/>
  <c r="O296"/>
  <c r="O369"/>
  <c r="O411"/>
  <c r="L450"/>
  <c r="L386"/>
  <c r="O247"/>
  <c r="O455"/>
  <c r="L408"/>
  <c r="O291"/>
  <c r="O253"/>
  <c r="L20"/>
  <c r="L448"/>
  <c r="L440"/>
  <c r="L414"/>
  <c r="O259"/>
  <c r="L135"/>
  <c r="L4"/>
  <c r="N124"/>
  <c r="N156"/>
  <c r="K187"/>
  <c r="N201"/>
  <c r="K221"/>
  <c r="K237"/>
  <c r="K262"/>
  <c r="N271"/>
  <c r="K332"/>
  <c r="N341"/>
  <c r="N369"/>
  <c r="N375"/>
  <c r="N401"/>
  <c r="N407"/>
  <c r="N431"/>
  <c r="K435"/>
  <c r="N447"/>
  <c r="K451"/>
  <c r="N3"/>
  <c r="N451"/>
  <c r="K3"/>
  <c r="N185"/>
  <c r="K235"/>
  <c r="K281"/>
  <c r="K294"/>
  <c r="N303"/>
  <c r="K338"/>
  <c r="N361"/>
  <c r="N367"/>
  <c r="N393"/>
  <c r="N399"/>
  <c r="N427"/>
  <c r="K431"/>
  <c r="N443"/>
  <c r="K447"/>
  <c r="N459"/>
  <c r="N73"/>
  <c r="K243"/>
  <c r="K300"/>
  <c r="K313"/>
  <c r="N359"/>
  <c r="N385"/>
  <c r="N391"/>
  <c r="N417"/>
  <c r="N423"/>
  <c r="K427"/>
  <c r="N439"/>
  <c r="K443"/>
  <c r="N455"/>
  <c r="K459"/>
  <c r="N9"/>
  <c r="N57"/>
  <c r="N99"/>
  <c r="K128"/>
  <c r="K242"/>
  <c r="N265"/>
  <c r="K275"/>
  <c r="N309"/>
  <c r="K333"/>
  <c r="N377"/>
  <c r="N383"/>
  <c r="N409"/>
  <c r="N415"/>
  <c r="N435"/>
  <c r="K439"/>
  <c r="K455"/>
  <c r="K429"/>
  <c r="N381"/>
  <c r="N365"/>
  <c r="N457"/>
  <c r="N441"/>
  <c r="N425"/>
  <c r="N395"/>
  <c r="N363"/>
  <c r="K274"/>
  <c r="N233"/>
  <c r="K205"/>
  <c r="N8"/>
  <c r="N16"/>
  <c r="N24"/>
  <c r="N32"/>
  <c r="N40"/>
  <c r="N48"/>
  <c r="N56"/>
  <c r="N64"/>
  <c r="N72"/>
  <c r="N80"/>
  <c r="N88"/>
  <c r="N96"/>
  <c r="K11"/>
  <c r="K19"/>
  <c r="K27"/>
  <c r="K35"/>
  <c r="K43"/>
  <c r="K51"/>
  <c r="K59"/>
  <c r="K67"/>
  <c r="K75"/>
  <c r="K83"/>
  <c r="K91"/>
  <c r="K99"/>
  <c r="K107"/>
  <c r="K115"/>
  <c r="K123"/>
  <c r="K131"/>
  <c r="K139"/>
  <c r="K147"/>
  <c r="K155"/>
  <c r="K163"/>
  <c r="K171"/>
  <c r="N15"/>
  <c r="N31"/>
  <c r="N47"/>
  <c r="N63"/>
  <c r="N79"/>
  <c r="N95"/>
  <c r="K108"/>
  <c r="N119"/>
  <c r="N128"/>
  <c r="K140"/>
  <c r="N151"/>
  <c r="N160"/>
  <c r="K172"/>
  <c r="K182"/>
  <c r="K190"/>
  <c r="K198"/>
  <c r="K206"/>
  <c r="K214"/>
  <c r="K222"/>
  <c r="K230"/>
  <c r="K238"/>
  <c r="K14"/>
  <c r="K30"/>
  <c r="K46"/>
  <c r="K62"/>
  <c r="K78"/>
  <c r="K94"/>
  <c r="K106"/>
  <c r="N117"/>
  <c r="N126"/>
  <c r="K138"/>
  <c r="N149"/>
  <c r="N158"/>
  <c r="K170"/>
  <c r="N178"/>
  <c r="N186"/>
  <c r="N194"/>
  <c r="N202"/>
  <c r="N210"/>
  <c r="N218"/>
  <c r="N226"/>
  <c r="N234"/>
  <c r="N242"/>
  <c r="N250"/>
  <c r="N258"/>
  <c r="N266"/>
  <c r="N274"/>
  <c r="N282"/>
  <c r="N290"/>
  <c r="N298"/>
  <c r="N306"/>
  <c r="N314"/>
  <c r="N322"/>
  <c r="N330"/>
  <c r="N338"/>
  <c r="N346"/>
  <c r="N354"/>
  <c r="N13"/>
  <c r="N45"/>
  <c r="N77"/>
  <c r="K104"/>
  <c r="N123"/>
  <c r="N148"/>
  <c r="K168"/>
  <c r="K12"/>
  <c r="K44"/>
  <c r="K76"/>
  <c r="K110"/>
  <c r="N129"/>
  <c r="N154"/>
  <c r="K174"/>
  <c r="N187"/>
  <c r="N203"/>
  <c r="N421"/>
  <c r="K189"/>
  <c r="N437"/>
  <c r="N429"/>
  <c r="N379"/>
  <c r="K345"/>
  <c r="N297"/>
  <c r="K269"/>
  <c r="N245"/>
  <c r="N163"/>
  <c r="N89"/>
  <c r="N6"/>
  <c r="N18"/>
  <c r="N28"/>
  <c r="N38"/>
  <c r="N50"/>
  <c r="N60"/>
  <c r="N70"/>
  <c r="N82"/>
  <c r="N92"/>
  <c r="K9"/>
  <c r="K21"/>
  <c r="K31"/>
  <c r="K41"/>
  <c r="K53"/>
  <c r="K63"/>
  <c r="K73"/>
  <c r="K85"/>
  <c r="K95"/>
  <c r="K105"/>
  <c r="K117"/>
  <c r="K127"/>
  <c r="K137"/>
  <c r="K149"/>
  <c r="K159"/>
  <c r="K169"/>
  <c r="N19"/>
  <c r="N39"/>
  <c r="N59"/>
  <c r="N83"/>
  <c r="N103"/>
  <c r="K116"/>
  <c r="K132"/>
  <c r="N144"/>
  <c r="N159"/>
  <c r="K176"/>
  <c r="K186"/>
  <c r="K196"/>
  <c r="K208"/>
  <c r="K218"/>
  <c r="K228"/>
  <c r="K240"/>
  <c r="K22"/>
  <c r="K42"/>
  <c r="K66"/>
  <c r="K86"/>
  <c r="N102"/>
  <c r="N118"/>
  <c r="N133"/>
  <c r="K146"/>
  <c r="K162"/>
  <c r="N174"/>
  <c r="N184"/>
  <c r="N196"/>
  <c r="N206"/>
  <c r="N216"/>
  <c r="N228"/>
  <c r="N238"/>
  <c r="N248"/>
  <c r="N260"/>
  <c r="N270"/>
  <c r="N280"/>
  <c r="N292"/>
  <c r="N302"/>
  <c r="N312"/>
  <c r="N324"/>
  <c r="N334"/>
  <c r="N344"/>
  <c r="N356"/>
  <c r="N29"/>
  <c r="N69"/>
  <c r="N107"/>
  <c r="K136"/>
  <c r="N164"/>
  <c r="K20"/>
  <c r="K60"/>
  <c r="N106"/>
  <c r="N138"/>
  <c r="N161"/>
  <c r="N183"/>
  <c r="N207"/>
  <c r="N223"/>
  <c r="N239"/>
  <c r="N251"/>
  <c r="K263"/>
  <c r="K272"/>
  <c r="N283"/>
  <c r="K295"/>
  <c r="K304"/>
  <c r="N315"/>
  <c r="K327"/>
  <c r="K336"/>
  <c r="N347"/>
  <c r="K24"/>
  <c r="K88"/>
  <c r="N130"/>
  <c r="K166"/>
  <c r="K185"/>
  <c r="N213"/>
  <c r="K231"/>
  <c r="K245"/>
  <c r="N253"/>
  <c r="K276"/>
  <c r="K283"/>
  <c r="N305"/>
  <c r="K314"/>
  <c r="K334"/>
  <c r="N343"/>
  <c r="K353"/>
  <c r="K362"/>
  <c r="K370"/>
  <c r="K378"/>
  <c r="K386"/>
  <c r="K394"/>
  <c r="K402"/>
  <c r="K410"/>
  <c r="K418"/>
  <c r="K426"/>
  <c r="K434"/>
  <c r="K442"/>
  <c r="K450"/>
  <c r="K458"/>
  <c r="K293"/>
  <c r="N321"/>
  <c r="K350"/>
  <c r="K373"/>
  <c r="K393"/>
  <c r="K411"/>
  <c r="N17"/>
  <c r="N81"/>
  <c r="N115"/>
  <c r="N172"/>
  <c r="N193"/>
  <c r="K211"/>
  <c r="K229"/>
  <c r="K253"/>
  <c r="N261"/>
  <c r="K284"/>
  <c r="K291"/>
  <c r="N313"/>
  <c r="K322"/>
  <c r="K342"/>
  <c r="N351"/>
  <c r="N362"/>
  <c r="N370"/>
  <c r="N378"/>
  <c r="N386"/>
  <c r="N394"/>
  <c r="N402"/>
  <c r="N410"/>
  <c r="N418"/>
  <c r="N426"/>
  <c r="N434"/>
  <c r="N442"/>
  <c r="N450"/>
  <c r="N458"/>
  <c r="K64"/>
  <c r="K118"/>
  <c r="K453"/>
  <c r="K437"/>
  <c r="K425"/>
  <c r="N405"/>
  <c r="K357"/>
  <c r="K249"/>
  <c r="K203"/>
  <c r="N453"/>
  <c r="N445"/>
  <c r="N411"/>
  <c r="K326"/>
  <c r="K219"/>
  <c r="N4"/>
  <c r="N14"/>
  <c r="N26"/>
  <c r="N36"/>
  <c r="N46"/>
  <c r="N58"/>
  <c r="N68"/>
  <c r="N78"/>
  <c r="N90"/>
  <c r="K7"/>
  <c r="K17"/>
  <c r="K29"/>
  <c r="K39"/>
  <c r="K49"/>
  <c r="K61"/>
  <c r="K71"/>
  <c r="K81"/>
  <c r="K93"/>
  <c r="K103"/>
  <c r="K113"/>
  <c r="K125"/>
  <c r="K135"/>
  <c r="K145"/>
  <c r="K157"/>
  <c r="K167"/>
  <c r="N11"/>
  <c r="N35"/>
  <c r="N55"/>
  <c r="N75"/>
  <c r="K100"/>
  <c r="N112"/>
  <c r="N127"/>
  <c r="N143"/>
  <c r="K156"/>
  <c r="N168"/>
  <c r="K184"/>
  <c r="K194"/>
  <c r="K204"/>
  <c r="K216"/>
  <c r="K226"/>
  <c r="K236"/>
  <c r="K18"/>
  <c r="K38"/>
  <c r="K58"/>
  <c r="K82"/>
  <c r="N101"/>
  <c r="K114"/>
  <c r="K130"/>
  <c r="N142"/>
  <c r="N157"/>
  <c r="N173"/>
  <c r="N182"/>
  <c r="N192"/>
  <c r="N204"/>
  <c r="N214"/>
  <c r="N224"/>
  <c r="N236"/>
  <c r="N246"/>
  <c r="N256"/>
  <c r="N268"/>
  <c r="N278"/>
  <c r="N288"/>
  <c r="N300"/>
  <c r="N310"/>
  <c r="N320"/>
  <c r="N332"/>
  <c r="N342"/>
  <c r="N352"/>
  <c r="N21"/>
  <c r="N61"/>
  <c r="N100"/>
  <c r="N132"/>
  <c r="N155"/>
  <c r="K4"/>
  <c r="K52"/>
  <c r="K92"/>
  <c r="K126"/>
  <c r="K158"/>
  <c r="N179"/>
  <c r="N199"/>
  <c r="N219"/>
  <c r="N235"/>
  <c r="K248"/>
  <c r="N259"/>
  <c r="K271"/>
  <c r="K280"/>
  <c r="N291"/>
  <c r="K303"/>
  <c r="K312"/>
  <c r="N323"/>
  <c r="K335"/>
  <c r="K344"/>
  <c r="K8"/>
  <c r="K72"/>
  <c r="N105"/>
  <c r="N162"/>
  <c r="K183"/>
  <c r="K201"/>
  <c r="N229"/>
  <c r="K244"/>
  <c r="K251"/>
  <c r="N273"/>
  <c r="K282"/>
  <c r="K302"/>
  <c r="N311"/>
  <c r="K321"/>
  <c r="K341"/>
  <c r="N349"/>
  <c r="K360"/>
  <c r="K368"/>
  <c r="K376"/>
  <c r="K384"/>
  <c r="K392"/>
  <c r="K400"/>
  <c r="K408"/>
  <c r="K416"/>
  <c r="K424"/>
  <c r="K432"/>
  <c r="K440"/>
  <c r="K448"/>
  <c r="K456"/>
  <c r="K286"/>
  <c r="K305"/>
  <c r="N333"/>
  <c r="K369"/>
  <c r="K387"/>
  <c r="K407"/>
  <c r="K423"/>
  <c r="N65"/>
  <c r="K112"/>
  <c r="N147"/>
  <c r="K181"/>
  <c r="N209"/>
  <c r="K227"/>
  <c r="K252"/>
  <c r="K259"/>
  <c r="N281"/>
  <c r="K290"/>
  <c r="K310"/>
  <c r="N319"/>
  <c r="K329"/>
  <c r="K349"/>
  <c r="N360"/>
  <c r="N368"/>
  <c r="N376"/>
  <c r="N384"/>
  <c r="N392"/>
  <c r="N400"/>
  <c r="N408"/>
  <c r="N416"/>
  <c r="N424"/>
  <c r="N432"/>
  <c r="N440"/>
  <c r="N448"/>
  <c r="N456"/>
  <c r="K48"/>
  <c r="N114"/>
  <c r="K150"/>
  <c r="K191"/>
  <c r="K209"/>
  <c r="N237"/>
  <c r="N257"/>
  <c r="K266"/>
  <c r="K299"/>
  <c r="N327"/>
  <c r="N355"/>
  <c r="K371"/>
  <c r="K385"/>
  <c r="K399"/>
  <c r="K413"/>
  <c r="K449"/>
  <c r="N373"/>
  <c r="N277"/>
  <c r="N329"/>
  <c r="N217"/>
  <c r="K160"/>
  <c r="N433"/>
  <c r="N387"/>
  <c r="N371"/>
  <c r="K358"/>
  <c r="N335"/>
  <c r="K307"/>
  <c r="N12"/>
  <c r="N22"/>
  <c r="N34"/>
  <c r="N44"/>
  <c r="N54"/>
  <c r="N66"/>
  <c r="N76"/>
  <c r="N86"/>
  <c r="K5"/>
  <c r="K15"/>
  <c r="K25"/>
  <c r="K37"/>
  <c r="K47"/>
  <c r="K57"/>
  <c r="K69"/>
  <c r="K79"/>
  <c r="K89"/>
  <c r="K101"/>
  <c r="K111"/>
  <c r="K121"/>
  <c r="K133"/>
  <c r="K143"/>
  <c r="K153"/>
  <c r="K165"/>
  <c r="N7"/>
  <c r="N27"/>
  <c r="N51"/>
  <c r="N71"/>
  <c r="N91"/>
  <c r="N111"/>
  <c r="K124"/>
  <c r="N136"/>
  <c r="N152"/>
  <c r="N167"/>
  <c r="K180"/>
  <c r="K192"/>
  <c r="K202"/>
  <c r="K212"/>
  <c r="K224"/>
  <c r="K234"/>
  <c r="K10"/>
  <c r="K34"/>
  <c r="K54"/>
  <c r="K74"/>
  <c r="K98"/>
  <c r="N110"/>
  <c r="N125"/>
  <c r="N141"/>
  <c r="K154"/>
  <c r="N166"/>
  <c r="L320"/>
  <c r="L384"/>
  <c r="L416"/>
  <c r="O435"/>
  <c r="O451"/>
  <c r="O215"/>
  <c r="O342"/>
  <c r="L426"/>
  <c r="L390"/>
  <c r="L174"/>
  <c r="L392"/>
  <c r="O431"/>
  <c r="O363"/>
  <c r="O26"/>
  <c r="L377"/>
  <c r="L236"/>
  <c r="O347"/>
  <c r="O402"/>
  <c r="O287"/>
  <c r="L342"/>
  <c r="L222"/>
  <c r="L40"/>
  <c r="L239"/>
  <c r="O84"/>
  <c r="L147"/>
  <c r="O131"/>
  <c r="L97"/>
  <c r="K306"/>
  <c r="L368"/>
  <c r="K433"/>
  <c r="L36"/>
  <c r="O323"/>
  <c r="L394"/>
  <c r="L454"/>
  <c r="K405"/>
  <c r="K389"/>
  <c r="K367"/>
  <c r="K337"/>
  <c r="N301"/>
  <c r="N263"/>
  <c r="K241"/>
  <c r="N221"/>
  <c r="N189"/>
  <c r="N121"/>
  <c r="K16"/>
  <c r="N444"/>
  <c r="N428"/>
  <c r="N412"/>
  <c r="N396"/>
  <c r="N380"/>
  <c r="N364"/>
  <c r="N345"/>
  <c r="K316"/>
  <c r="K285"/>
  <c r="N255"/>
  <c r="K213"/>
  <c r="N177"/>
  <c r="N97"/>
  <c r="K415"/>
  <c r="K379"/>
  <c r="K324"/>
  <c r="K267"/>
  <c r="K444"/>
  <c r="K428"/>
  <c r="K412"/>
  <c r="K396"/>
  <c r="K380"/>
  <c r="K364"/>
  <c r="K346"/>
  <c r="K315"/>
  <c r="N285"/>
  <c r="K257"/>
  <c r="K233"/>
  <c r="N197"/>
  <c r="K134"/>
  <c r="K40"/>
  <c r="N339"/>
  <c r="K319"/>
  <c r="K296"/>
  <c r="N275"/>
  <c r="K255"/>
  <c r="N227"/>
  <c r="N191"/>
  <c r="K142"/>
  <c r="K68"/>
  <c r="N171"/>
  <c r="N116"/>
  <c r="N37"/>
  <c r="N348"/>
  <c r="N326"/>
  <c r="N304"/>
  <c r="N284"/>
  <c r="N262"/>
  <c r="N240"/>
  <c r="N220"/>
  <c r="N198"/>
  <c r="N176"/>
  <c r="K122"/>
  <c r="K50"/>
  <c r="K220"/>
  <c r="K178"/>
  <c r="N120"/>
  <c r="N43"/>
  <c r="K151"/>
  <c r="K109"/>
  <c r="K65"/>
  <c r="K23"/>
  <c r="N74"/>
  <c r="N30"/>
  <c r="O316"/>
  <c r="N403"/>
  <c r="L428"/>
  <c r="L84"/>
  <c r="K301"/>
  <c r="K445"/>
  <c r="L458"/>
  <c r="O407"/>
  <c r="O160"/>
  <c r="L399"/>
  <c r="L272"/>
  <c r="O385"/>
  <c r="O424"/>
  <c r="O324"/>
  <c r="L109"/>
  <c r="O257"/>
  <c r="L143"/>
  <c r="L271"/>
  <c r="O132"/>
  <c r="O186"/>
  <c r="O163"/>
  <c r="O35"/>
  <c r="L68"/>
  <c r="L288"/>
  <c r="L402"/>
  <c r="L232"/>
  <c r="L419"/>
  <c r="O320"/>
  <c r="L28"/>
  <c r="O444"/>
  <c r="O360"/>
  <c r="O193"/>
  <c r="O282"/>
  <c r="O86"/>
  <c r="L303"/>
  <c r="L175"/>
  <c r="O218"/>
  <c r="L46"/>
  <c r="O67"/>
  <c r="L33"/>
  <c r="O423"/>
  <c r="O229"/>
  <c r="L362"/>
  <c r="L430"/>
  <c r="N140"/>
  <c r="N33"/>
  <c r="K397"/>
  <c r="K363"/>
  <c r="N295"/>
  <c r="K452"/>
  <c r="K436"/>
  <c r="K420"/>
  <c r="K404"/>
  <c r="K388"/>
  <c r="K372"/>
  <c r="K355"/>
  <c r="N337"/>
  <c r="K308"/>
  <c r="K277"/>
  <c r="N247"/>
  <c r="K215"/>
  <c r="N169"/>
  <c r="N98"/>
  <c r="K351"/>
  <c r="K328"/>
  <c r="N307"/>
  <c r="K287"/>
  <c r="K264"/>
  <c r="N243"/>
  <c r="N211"/>
  <c r="N170"/>
  <c r="N113"/>
  <c r="K28"/>
  <c r="N139"/>
  <c r="N85"/>
  <c r="N358"/>
  <c r="N336"/>
  <c r="N316"/>
  <c r="N294"/>
  <c r="N272"/>
  <c r="N252"/>
  <c r="N230"/>
  <c r="N208"/>
  <c r="N188"/>
  <c r="N150"/>
  <c r="K90"/>
  <c r="K6"/>
  <c r="K200"/>
  <c r="K148"/>
  <c r="N87"/>
  <c r="K173"/>
  <c r="K129"/>
  <c r="K87"/>
  <c r="K45"/>
  <c r="N94"/>
  <c r="N52"/>
  <c r="N10"/>
  <c r="O197"/>
  <c r="L340"/>
  <c r="N419"/>
  <c r="L456"/>
  <c r="O285"/>
  <c r="L280"/>
  <c r="L441"/>
  <c r="O355"/>
  <c r="O175"/>
  <c r="L274"/>
  <c r="O380"/>
  <c r="O254"/>
  <c r="O313"/>
  <c r="L172"/>
  <c r="L335"/>
  <c r="L207"/>
  <c r="O20"/>
  <c r="L106"/>
  <c r="O99"/>
  <c r="L65"/>
  <c r="P94"/>
  <c r="M251"/>
  <c r="M295"/>
  <c r="P318"/>
  <c r="M355"/>
  <c r="P382"/>
  <c r="P388"/>
  <c r="P414"/>
  <c r="P420"/>
  <c r="P424"/>
  <c r="M428"/>
  <c r="P440"/>
  <c r="M444"/>
  <c r="P456"/>
  <c r="P30"/>
  <c r="P78"/>
  <c r="P113"/>
  <c r="P152"/>
  <c r="P260"/>
  <c r="M270"/>
  <c r="M328"/>
  <c r="P350"/>
  <c r="P374"/>
  <c r="P380"/>
  <c r="P406"/>
  <c r="P412"/>
  <c r="M424"/>
  <c r="P436"/>
  <c r="M440"/>
  <c r="P452"/>
  <c r="M456"/>
  <c r="P14"/>
  <c r="M178"/>
  <c r="M194"/>
  <c r="M208"/>
  <c r="M257"/>
  <c r="P266"/>
  <c r="M290"/>
  <c r="M327"/>
  <c r="M347"/>
  <c r="P366"/>
  <c r="P372"/>
  <c r="P398"/>
  <c r="P404"/>
  <c r="P432"/>
  <c r="M436"/>
  <c r="P448"/>
  <c r="M452"/>
  <c r="M192"/>
  <c r="P206"/>
  <c r="P222"/>
  <c r="M289"/>
  <c r="P298"/>
  <c r="M322"/>
  <c r="P358"/>
  <c r="P364"/>
  <c r="P390"/>
  <c r="P396"/>
  <c r="P422"/>
  <c r="P428"/>
  <c r="M432"/>
  <c r="P444"/>
  <c r="M448"/>
  <c r="P9"/>
  <c r="P17"/>
  <c r="P25"/>
  <c r="P33"/>
  <c r="P41"/>
  <c r="P49"/>
  <c r="P57"/>
  <c r="P65"/>
  <c r="P73"/>
  <c r="P81"/>
  <c r="P89"/>
  <c r="P97"/>
  <c r="M10"/>
  <c r="M18"/>
  <c r="M26"/>
  <c r="M34"/>
  <c r="M42"/>
  <c r="M50"/>
  <c r="M58"/>
  <c r="M66"/>
  <c r="M74"/>
  <c r="M82"/>
  <c r="M90"/>
  <c r="M98"/>
  <c r="M106"/>
  <c r="M114"/>
  <c r="M122"/>
  <c r="M130"/>
  <c r="M138"/>
  <c r="M146"/>
  <c r="M154"/>
  <c r="M162"/>
  <c r="M170"/>
  <c r="P8"/>
  <c r="P24"/>
  <c r="P40"/>
  <c r="P56"/>
  <c r="P72"/>
  <c r="P88"/>
  <c r="P101"/>
  <c r="M113"/>
  <c r="P124"/>
  <c r="P133"/>
  <c r="M145"/>
  <c r="P156"/>
  <c r="P165"/>
  <c r="M175"/>
  <c r="M183"/>
  <c r="M191"/>
  <c r="M199"/>
  <c r="M207"/>
  <c r="M215"/>
  <c r="M223"/>
  <c r="M231"/>
  <c r="M239"/>
  <c r="M19"/>
  <c r="M35"/>
  <c r="M51"/>
  <c r="M67"/>
  <c r="M83"/>
  <c r="P5"/>
  <c r="P15"/>
  <c r="P27"/>
  <c r="P37"/>
  <c r="P47"/>
  <c r="P59"/>
  <c r="P69"/>
  <c r="P79"/>
  <c r="P91"/>
  <c r="M6"/>
  <c r="M16"/>
  <c r="M28"/>
  <c r="M38"/>
  <c r="M48"/>
  <c r="M60"/>
  <c r="M70"/>
  <c r="M80"/>
  <c r="M92"/>
  <c r="M102"/>
  <c r="M112"/>
  <c r="M124"/>
  <c r="M134"/>
  <c r="M144"/>
  <c r="M156"/>
  <c r="M166"/>
  <c r="P4"/>
  <c r="P28"/>
  <c r="P48"/>
  <c r="P68"/>
  <c r="P92"/>
  <c r="P108"/>
  <c r="M121"/>
  <c r="M137"/>
  <c r="P149"/>
  <c r="P164"/>
  <c r="M177"/>
  <c r="M187"/>
  <c r="M197"/>
  <c r="M209"/>
  <c r="M219"/>
  <c r="M229"/>
  <c r="M7"/>
  <c r="M27"/>
  <c r="M47"/>
  <c r="M71"/>
  <c r="M91"/>
  <c r="M103"/>
  <c r="P114"/>
  <c r="P123"/>
  <c r="M135"/>
  <c r="P146"/>
  <c r="P155"/>
  <c r="M167"/>
  <c r="P177"/>
  <c r="P185"/>
  <c r="P193"/>
  <c r="P201"/>
  <c r="P209"/>
  <c r="P217"/>
  <c r="P225"/>
  <c r="P233"/>
  <c r="P241"/>
  <c r="P249"/>
  <c r="P257"/>
  <c r="P265"/>
  <c r="P273"/>
  <c r="P281"/>
  <c r="P289"/>
  <c r="P297"/>
  <c r="P305"/>
  <c r="P313"/>
  <c r="P321"/>
  <c r="P329"/>
  <c r="P337"/>
  <c r="P345"/>
  <c r="P353"/>
  <c r="P18"/>
  <c r="P50"/>
  <c r="P82"/>
  <c r="P112"/>
  <c r="P137"/>
  <c r="M157"/>
  <c r="M9"/>
  <c r="M41"/>
  <c r="M73"/>
  <c r="M99"/>
  <c r="P118"/>
  <c r="P143"/>
  <c r="M163"/>
  <c r="P184"/>
  <c r="P200"/>
  <c r="P216"/>
  <c r="P232"/>
  <c r="M245"/>
  <c r="P256"/>
  <c r="M268"/>
  <c r="M277"/>
  <c r="P288"/>
  <c r="M300"/>
  <c r="M309"/>
  <c r="P320"/>
  <c r="M332"/>
  <c r="M341"/>
  <c r="P352"/>
  <c r="M61"/>
  <c r="M123"/>
  <c r="P158"/>
  <c r="P202"/>
  <c r="M220"/>
  <c r="M238"/>
  <c r="P262"/>
  <c r="M271"/>
  <c r="M291"/>
  <c r="P300"/>
  <c r="M310"/>
  <c r="M330"/>
  <c r="P338"/>
  <c r="M361"/>
  <c r="M369"/>
  <c r="M377"/>
  <c r="M385"/>
  <c r="M393"/>
  <c r="M401"/>
  <c r="M409"/>
  <c r="M417"/>
  <c r="M425"/>
  <c r="M433"/>
  <c r="M441"/>
  <c r="M449"/>
  <c r="M457"/>
  <c r="P258"/>
  <c r="M288"/>
  <c r="P316"/>
  <c r="M345"/>
  <c r="M366"/>
  <c r="M380"/>
  <c r="P13"/>
  <c r="P23"/>
  <c r="P35"/>
  <c r="P45"/>
  <c r="P55"/>
  <c r="P67"/>
  <c r="P77"/>
  <c r="P87"/>
  <c r="M4"/>
  <c r="M14"/>
  <c r="M24"/>
  <c r="M36"/>
  <c r="M46"/>
  <c r="M56"/>
  <c r="M68"/>
  <c r="M78"/>
  <c r="M88"/>
  <c r="M100"/>
  <c r="M110"/>
  <c r="M120"/>
  <c r="M132"/>
  <c r="M142"/>
  <c r="M152"/>
  <c r="M164"/>
  <c r="M174"/>
  <c r="P20"/>
  <c r="P44"/>
  <c r="P64"/>
  <c r="P84"/>
  <c r="M105"/>
  <c r="P117"/>
  <c r="P132"/>
  <c r="P148"/>
  <c r="M161"/>
  <c r="P173"/>
  <c r="M185"/>
  <c r="M195"/>
  <c r="M205"/>
  <c r="M217"/>
  <c r="M227"/>
  <c r="M237"/>
  <c r="M23"/>
  <c r="M43"/>
  <c r="M63"/>
  <c r="M87"/>
  <c r="P99"/>
  <c r="M111"/>
  <c r="P122"/>
  <c r="P131"/>
  <c r="M143"/>
  <c r="P154"/>
  <c r="P163"/>
  <c r="P175"/>
  <c r="P183"/>
  <c r="P191"/>
  <c r="P199"/>
  <c r="P207"/>
  <c r="P215"/>
  <c r="P223"/>
  <c r="P231"/>
  <c r="P239"/>
  <c r="P247"/>
  <c r="P255"/>
  <c r="P263"/>
  <c r="P271"/>
  <c r="P279"/>
  <c r="P287"/>
  <c r="P295"/>
  <c r="P303"/>
  <c r="P311"/>
  <c r="P319"/>
  <c r="P327"/>
  <c r="P335"/>
  <c r="P343"/>
  <c r="P351"/>
  <c r="P10"/>
  <c r="P42"/>
  <c r="P74"/>
  <c r="M109"/>
  <c r="P128"/>
  <c r="P153"/>
  <c r="M173"/>
  <c r="M33"/>
  <c r="M65"/>
  <c r="M97"/>
  <c r="M115"/>
  <c r="P134"/>
  <c r="P159"/>
  <c r="P180"/>
  <c r="P196"/>
  <c r="P212"/>
  <c r="P228"/>
  <c r="M244"/>
  <c r="M253"/>
  <c r="P264"/>
  <c r="M276"/>
  <c r="M285"/>
  <c r="P296"/>
  <c r="M308"/>
  <c r="M317"/>
  <c r="P328"/>
  <c r="M340"/>
  <c r="M349"/>
  <c r="M45"/>
  <c r="P119"/>
  <c r="M155"/>
  <c r="M190"/>
  <c r="P218"/>
  <c r="M236"/>
  <c r="M259"/>
  <c r="P268"/>
  <c r="M278"/>
  <c r="M298"/>
  <c r="P306"/>
  <c r="M329"/>
  <c r="M336"/>
  <c r="M359"/>
  <c r="M367"/>
  <c r="M375"/>
  <c r="M383"/>
  <c r="M391"/>
  <c r="M399"/>
  <c r="M407"/>
  <c r="M415"/>
  <c r="M423"/>
  <c r="M431"/>
  <c r="M439"/>
  <c r="M447"/>
  <c r="M455"/>
  <c r="M228"/>
  <c r="M281"/>
  <c r="M314"/>
  <c r="P342"/>
  <c r="M360"/>
  <c r="M376"/>
  <c r="M390"/>
  <c r="M404"/>
  <c r="M420"/>
  <c r="P54"/>
  <c r="P104"/>
  <c r="P161"/>
  <c r="M184"/>
  <c r="M202"/>
  <c r="P230"/>
  <c r="M242"/>
  <c r="P250"/>
  <c r="M273"/>
  <c r="M280"/>
  <c r="P302"/>
  <c r="M311"/>
  <c r="M331"/>
  <c r="P340"/>
  <c r="M350"/>
  <c r="P361"/>
  <c r="P369"/>
  <c r="P377"/>
  <c r="P385"/>
  <c r="P393"/>
  <c r="P401"/>
  <c r="P409"/>
  <c r="P417"/>
  <c r="P425"/>
  <c r="P433"/>
  <c r="P441"/>
  <c r="P449"/>
  <c r="P457"/>
  <c r="M21"/>
  <c r="M85"/>
  <c r="P135"/>
  <c r="M171"/>
  <c r="M182"/>
  <c r="P210"/>
  <c r="M230"/>
  <c r="M250"/>
  <c r="M275"/>
  <c r="M294"/>
  <c r="P322"/>
  <c r="M351"/>
  <c r="M368"/>
  <c r="M386"/>
  <c r="M406"/>
  <c r="M422"/>
  <c r="M450"/>
  <c r="P418"/>
  <c r="M315"/>
  <c r="P286"/>
  <c r="M263"/>
  <c r="P145"/>
  <c r="P62"/>
  <c r="P446"/>
  <c r="P430"/>
  <c r="P416"/>
  <c r="P384"/>
  <c r="P330"/>
  <c r="P292"/>
  <c r="P254"/>
  <c r="M176"/>
  <c r="P120"/>
  <c r="P46"/>
  <c r="N25"/>
  <c r="M334"/>
  <c r="P402"/>
  <c r="M438"/>
  <c r="M302"/>
  <c r="M354"/>
  <c r="P368"/>
  <c r="P438"/>
  <c r="M117"/>
  <c r="P324"/>
  <c r="P378"/>
  <c r="M414"/>
  <c r="M392"/>
  <c r="M364"/>
  <c r="M346"/>
  <c r="P310"/>
  <c r="M256"/>
  <c r="P246"/>
  <c r="M212"/>
  <c r="M180"/>
  <c r="P142"/>
  <c r="P103"/>
  <c r="M5"/>
  <c r="P453"/>
  <c r="P443"/>
  <c r="P431"/>
  <c r="P421"/>
  <c r="P411"/>
  <c r="P399"/>
  <c r="P389"/>
  <c r="P379"/>
  <c r="P367"/>
  <c r="M358"/>
  <c r="M343"/>
  <c r="M318"/>
  <c r="M306"/>
  <c r="P282"/>
  <c r="P270"/>
  <c r="M247"/>
  <c r="M232"/>
  <c r="M200"/>
  <c r="P168"/>
  <c r="P129"/>
  <c r="P38"/>
  <c r="M412"/>
  <c r="M394"/>
  <c r="M370"/>
  <c r="M319"/>
  <c r="M262"/>
  <c r="M451"/>
  <c r="M435"/>
  <c r="M419"/>
  <c r="M403"/>
  <c r="M387"/>
  <c r="M371"/>
  <c r="M342"/>
  <c r="M323"/>
  <c r="P294"/>
  <c r="M265"/>
  <c r="M222"/>
  <c r="P186"/>
  <c r="M77"/>
  <c r="P344"/>
  <c r="M324"/>
  <c r="M301"/>
  <c r="P280"/>
  <c r="M260"/>
  <c r="P236"/>
  <c r="P204"/>
  <c r="P166"/>
  <c r="P127"/>
  <c r="M81"/>
  <c r="M17"/>
  <c r="M141"/>
  <c r="P90"/>
  <c r="P26"/>
  <c r="P347"/>
  <c r="P331"/>
  <c r="P315"/>
  <c r="P299"/>
  <c r="P283"/>
  <c r="P267"/>
  <c r="P251"/>
  <c r="P235"/>
  <c r="P219"/>
  <c r="P203"/>
  <c r="P187"/>
  <c r="P170"/>
  <c r="P147"/>
  <c r="M127"/>
  <c r="P106"/>
  <c r="M75"/>
  <c r="M31"/>
  <c r="M233"/>
  <c r="M211"/>
  <c r="M189"/>
  <c r="M169"/>
  <c r="P140"/>
  <c r="P109"/>
  <c r="P76"/>
  <c r="P32"/>
  <c r="M168"/>
  <c r="M148"/>
  <c r="M126"/>
  <c r="M104"/>
  <c r="M84"/>
  <c r="M62"/>
  <c r="M40"/>
  <c r="M20"/>
  <c r="P93"/>
  <c r="P71"/>
  <c r="P51"/>
  <c r="P29"/>
  <c r="P7"/>
  <c r="P317"/>
  <c r="P301"/>
  <c r="P285"/>
  <c r="P269"/>
  <c r="P253"/>
  <c r="P237"/>
  <c r="P221"/>
  <c r="P205"/>
  <c r="P189"/>
  <c r="P171"/>
  <c r="M151"/>
  <c r="P130"/>
  <c r="P107"/>
  <c r="M79"/>
  <c r="M39"/>
  <c r="M235"/>
  <c r="M213"/>
  <c r="M193"/>
  <c r="P172"/>
  <c r="P141"/>
  <c r="P116"/>
  <c r="P80"/>
  <c r="P36"/>
  <c r="M172"/>
  <c r="M150"/>
  <c r="M128"/>
  <c r="M108"/>
  <c r="M86"/>
  <c r="M64"/>
  <c r="M44"/>
  <c r="M22"/>
  <c r="P95"/>
  <c r="P75"/>
  <c r="P53"/>
  <c r="P31"/>
  <c r="P11"/>
  <c r="O8" i="9"/>
  <c r="O9"/>
  <c r="F15" i="10" l="1"/>
  <c r="F13"/>
  <c r="F7"/>
  <c r="F8"/>
  <c r="F12"/>
  <c r="F11"/>
  <c r="O7" i="9" l="1"/>
  <c r="F10" i="10" l="1"/>
  <c r="F9"/>
  <c r="O6" i="9"/>
  <c r="H6"/>
  <c r="G6"/>
  <c r="I6" l="1"/>
  <c r="N154" i="7" l="1"/>
  <c r="J154"/>
  <c r="K154" s="1"/>
  <c r="I154"/>
  <c r="N153"/>
  <c r="J153"/>
  <c r="I153"/>
  <c r="N152"/>
  <c r="J152"/>
  <c r="K152" s="1"/>
  <c r="I152"/>
  <c r="N151"/>
  <c r="J151"/>
  <c r="I151"/>
  <c r="N150"/>
  <c r="J150"/>
  <c r="K150" s="1"/>
  <c r="I150"/>
  <c r="N149"/>
  <c r="J149"/>
  <c r="I149"/>
  <c r="N148"/>
  <c r="J148"/>
  <c r="K148" s="1"/>
  <c r="I148"/>
  <c r="N147"/>
  <c r="J147"/>
  <c r="I147"/>
  <c r="N146"/>
  <c r="J146"/>
  <c r="K146" s="1"/>
  <c r="I146"/>
  <c r="N145"/>
  <c r="J145"/>
  <c r="I145"/>
  <c r="N144"/>
  <c r="J144"/>
  <c r="K144" s="1"/>
  <c r="I144"/>
  <c r="N143"/>
  <c r="J143"/>
  <c r="I143"/>
  <c r="N142"/>
  <c r="J142"/>
  <c r="K142" s="1"/>
  <c r="I142"/>
  <c r="N141"/>
  <c r="J141"/>
  <c r="I141"/>
  <c r="N140"/>
  <c r="J140"/>
  <c r="K140" s="1"/>
  <c r="I140"/>
  <c r="N139"/>
  <c r="J139"/>
  <c r="M139" s="1"/>
  <c r="I139"/>
  <c r="N138"/>
  <c r="J138"/>
  <c r="K138" s="1"/>
  <c r="I138"/>
  <c r="N137"/>
  <c r="J137"/>
  <c r="I137"/>
  <c r="N136"/>
  <c r="J136"/>
  <c r="K136" s="1"/>
  <c r="I136"/>
  <c r="N135"/>
  <c r="J135"/>
  <c r="I135"/>
  <c r="J134"/>
  <c r="K134" s="1"/>
  <c r="I134"/>
  <c r="J133"/>
  <c r="M133" s="1"/>
  <c r="N133" s="1"/>
  <c r="I133"/>
  <c r="J132"/>
  <c r="K132" s="1"/>
  <c r="I132"/>
  <c r="J131"/>
  <c r="I131"/>
  <c r="J130"/>
  <c r="K130" s="1"/>
  <c r="I130"/>
  <c r="J129"/>
  <c r="M129" s="1"/>
  <c r="N129" s="1"/>
  <c r="I129"/>
  <c r="J128"/>
  <c r="K128" s="1"/>
  <c r="I128"/>
  <c r="J127"/>
  <c r="I127"/>
  <c r="J126"/>
  <c r="K126" s="1"/>
  <c r="I126"/>
  <c r="J125"/>
  <c r="I125"/>
  <c r="J124"/>
  <c r="K124" s="1"/>
  <c r="I124"/>
  <c r="J123"/>
  <c r="I123"/>
  <c r="J122"/>
  <c r="K122" s="1"/>
  <c r="I122"/>
  <c r="J121"/>
  <c r="M121" s="1"/>
  <c r="N121" s="1"/>
  <c r="I121"/>
  <c r="J120"/>
  <c r="K120" s="1"/>
  <c r="I120"/>
  <c r="J119"/>
  <c r="I119"/>
  <c r="L118"/>
  <c r="J118"/>
  <c r="K118" s="1"/>
  <c r="I118"/>
  <c r="J117"/>
  <c r="I117"/>
  <c r="J116"/>
  <c r="K116" s="1"/>
  <c r="I116"/>
  <c r="J115"/>
  <c r="M115" s="1"/>
  <c r="N115" s="1"/>
  <c r="I115"/>
  <c r="J114"/>
  <c r="K114" s="1"/>
  <c r="I114"/>
  <c r="J113"/>
  <c r="M113" s="1"/>
  <c r="N113" s="1"/>
  <c r="I113"/>
  <c r="J112"/>
  <c r="K112" s="1"/>
  <c r="I112"/>
  <c r="J111"/>
  <c r="I111"/>
  <c r="J110"/>
  <c r="K110" s="1"/>
  <c r="I110"/>
  <c r="J109"/>
  <c r="I109"/>
  <c r="E108"/>
  <c r="I108" s="1"/>
  <c r="E107"/>
  <c r="J107" s="1"/>
  <c r="E106"/>
  <c r="I106" s="1"/>
  <c r="E105"/>
  <c r="J105" s="1"/>
  <c r="L105" s="1"/>
  <c r="E104"/>
  <c r="I104" s="1"/>
  <c r="E103"/>
  <c r="J103" s="1"/>
  <c r="E102"/>
  <c r="I102" s="1"/>
  <c r="J101"/>
  <c r="L101" s="1"/>
  <c r="E101"/>
  <c r="I101" s="1"/>
  <c r="E100"/>
  <c r="I100" s="1"/>
  <c r="E99"/>
  <c r="J99" s="1"/>
  <c r="E98"/>
  <c r="I98" s="1"/>
  <c r="E97"/>
  <c r="J97" s="1"/>
  <c r="E96"/>
  <c r="I96" s="1"/>
  <c r="I95"/>
  <c r="E95"/>
  <c r="J95" s="1"/>
  <c r="J94"/>
  <c r="I94"/>
  <c r="J93"/>
  <c r="K93" s="1"/>
  <c r="I93"/>
  <c r="J92"/>
  <c r="M92" s="1"/>
  <c r="N92" s="1"/>
  <c r="I92"/>
  <c r="J91"/>
  <c r="K91" s="1"/>
  <c r="I91"/>
  <c r="J90"/>
  <c r="I90"/>
  <c r="J89"/>
  <c r="K89" s="1"/>
  <c r="I89"/>
  <c r="J88"/>
  <c r="I88"/>
  <c r="J87"/>
  <c r="K87" s="1"/>
  <c r="I87"/>
  <c r="J86"/>
  <c r="I86"/>
  <c r="J85"/>
  <c r="K85" s="1"/>
  <c r="I85"/>
  <c r="J84"/>
  <c r="M84" s="1"/>
  <c r="N84" s="1"/>
  <c r="D84"/>
  <c r="I84" s="1"/>
  <c r="J83"/>
  <c r="L83" s="1"/>
  <c r="I83"/>
  <c r="M83" s="1"/>
  <c r="N83" s="1"/>
  <c r="J82"/>
  <c r="L82" s="1"/>
  <c r="I82"/>
  <c r="J81"/>
  <c r="L81" s="1"/>
  <c r="I81"/>
  <c r="J80"/>
  <c r="L80" s="1"/>
  <c r="I80"/>
  <c r="J79"/>
  <c r="L79" s="1"/>
  <c r="I79"/>
  <c r="J78"/>
  <c r="K78" s="1"/>
  <c r="I78"/>
  <c r="D77"/>
  <c r="J77" s="1"/>
  <c r="L77" s="1"/>
  <c r="D76"/>
  <c r="I76" s="1"/>
  <c r="J75"/>
  <c r="K75" s="1"/>
  <c r="I75"/>
  <c r="J74"/>
  <c r="L74" s="1"/>
  <c r="I74"/>
  <c r="L73"/>
  <c r="J73"/>
  <c r="K73" s="1"/>
  <c r="I73"/>
  <c r="J72"/>
  <c r="L72" s="1"/>
  <c r="I72"/>
  <c r="J71"/>
  <c r="K71" s="1"/>
  <c r="I71"/>
  <c r="J70"/>
  <c r="L70" s="1"/>
  <c r="I70"/>
  <c r="J69"/>
  <c r="L69" s="1"/>
  <c r="I69"/>
  <c r="M69" s="1"/>
  <c r="N69" s="1"/>
  <c r="K68"/>
  <c r="J68"/>
  <c r="L68" s="1"/>
  <c r="I68"/>
  <c r="L67"/>
  <c r="K67"/>
  <c r="J67"/>
  <c r="I67"/>
  <c r="J66"/>
  <c r="L66" s="1"/>
  <c r="I66"/>
  <c r="J65"/>
  <c r="L65" s="1"/>
  <c r="I65"/>
  <c r="J64"/>
  <c r="L64" s="1"/>
  <c r="I64"/>
  <c r="J63"/>
  <c r="K63" s="1"/>
  <c r="I63"/>
  <c r="J62"/>
  <c r="L62" s="1"/>
  <c r="I62"/>
  <c r="J61"/>
  <c r="L61" s="1"/>
  <c r="I61"/>
  <c r="J60"/>
  <c r="L60" s="1"/>
  <c r="I60"/>
  <c r="J59"/>
  <c r="L59" s="1"/>
  <c r="I59"/>
  <c r="J58"/>
  <c r="L58" s="1"/>
  <c r="I58"/>
  <c r="I57"/>
  <c r="D57"/>
  <c r="J57" s="1"/>
  <c r="J56"/>
  <c r="I56"/>
  <c r="J55"/>
  <c r="K55" s="1"/>
  <c r="I55"/>
  <c r="J54"/>
  <c r="I54"/>
  <c r="L53"/>
  <c r="J53"/>
  <c r="K53" s="1"/>
  <c r="I53"/>
  <c r="J52"/>
  <c r="I52"/>
  <c r="J51"/>
  <c r="K51" s="1"/>
  <c r="I51"/>
  <c r="J50"/>
  <c r="M50" s="1"/>
  <c r="N50" s="1"/>
  <c r="I50"/>
  <c r="J49"/>
  <c r="K49" s="1"/>
  <c r="I49"/>
  <c r="J48"/>
  <c r="M48" s="1"/>
  <c r="N48" s="1"/>
  <c r="I48"/>
  <c r="J47"/>
  <c r="K47" s="1"/>
  <c r="I47"/>
  <c r="J46"/>
  <c r="I46"/>
  <c r="J45"/>
  <c r="K45" s="1"/>
  <c r="I45"/>
  <c r="J44"/>
  <c r="M44" s="1"/>
  <c r="N44" s="1"/>
  <c r="I44"/>
  <c r="J43"/>
  <c r="K43" s="1"/>
  <c r="I43"/>
  <c r="J42"/>
  <c r="I42"/>
  <c r="J41"/>
  <c r="K41" s="1"/>
  <c r="I41"/>
  <c r="J40"/>
  <c r="M40" s="1"/>
  <c r="N40" s="1"/>
  <c r="I40"/>
  <c r="E39"/>
  <c r="I39" s="1"/>
  <c r="E38"/>
  <c r="J38" s="1"/>
  <c r="E37"/>
  <c r="I37" s="1"/>
  <c r="E36"/>
  <c r="J36" s="1"/>
  <c r="L35"/>
  <c r="J35"/>
  <c r="K35" s="1"/>
  <c r="I35"/>
  <c r="J34"/>
  <c r="I34"/>
  <c r="J33"/>
  <c r="K33" s="1"/>
  <c r="I33"/>
  <c r="J32"/>
  <c r="M32" s="1"/>
  <c r="N32" s="1"/>
  <c r="I32"/>
  <c r="J31"/>
  <c r="K31" s="1"/>
  <c r="I31"/>
  <c r="J30"/>
  <c r="I30"/>
  <c r="J29"/>
  <c r="K29" s="1"/>
  <c r="I29"/>
  <c r="J28"/>
  <c r="I28"/>
  <c r="E27"/>
  <c r="I27" s="1"/>
  <c r="E26"/>
  <c r="J26" s="1"/>
  <c r="E25"/>
  <c r="I25" s="1"/>
  <c r="E24"/>
  <c r="I24" s="1"/>
  <c r="E23"/>
  <c r="I23" s="1"/>
  <c r="E22"/>
  <c r="J22" s="1"/>
  <c r="J21"/>
  <c r="M21" s="1"/>
  <c r="N21" s="1"/>
  <c r="E21"/>
  <c r="I21" s="1"/>
  <c r="J20"/>
  <c r="L20" s="1"/>
  <c r="I20"/>
  <c r="M20" s="1"/>
  <c r="N20" s="1"/>
  <c r="J19"/>
  <c r="L19" s="1"/>
  <c r="I19"/>
  <c r="J18"/>
  <c r="L18" s="1"/>
  <c r="I18"/>
  <c r="M18" s="1"/>
  <c r="N18" s="1"/>
  <c r="L17"/>
  <c r="J17"/>
  <c r="K17" s="1"/>
  <c r="I17"/>
  <c r="K16"/>
  <c r="J16"/>
  <c r="L16" s="1"/>
  <c r="I16"/>
  <c r="L15"/>
  <c r="K15"/>
  <c r="J15"/>
  <c r="I15"/>
  <c r="J14"/>
  <c r="L14" s="1"/>
  <c r="I14"/>
  <c r="E13"/>
  <c r="J13" s="1"/>
  <c r="E12"/>
  <c r="I12" s="1"/>
  <c r="J11"/>
  <c r="L11" s="1"/>
  <c r="I11"/>
  <c r="E11"/>
  <c r="E10"/>
  <c r="I10" s="1"/>
  <c r="E9"/>
  <c r="J9" s="1"/>
  <c r="E8"/>
  <c r="I8" s="1"/>
  <c r="J7"/>
  <c r="L7" s="1"/>
  <c r="I7"/>
  <c r="J6"/>
  <c r="L6" s="1"/>
  <c r="I6"/>
  <c r="J5"/>
  <c r="L5" s="1"/>
  <c r="I5"/>
  <c r="J4"/>
  <c r="L4" s="1"/>
  <c r="I4"/>
  <c r="J3"/>
  <c r="L3" s="1"/>
  <c r="I3"/>
  <c r="E2"/>
  <c r="J2" s="1"/>
  <c r="I2" l="1"/>
  <c r="M3"/>
  <c r="N3" s="1"/>
  <c r="M62"/>
  <c r="N62" s="1"/>
  <c r="K65"/>
  <c r="K74"/>
  <c r="L78"/>
  <c r="M30"/>
  <c r="N30" s="1"/>
  <c r="M34"/>
  <c r="N34" s="1"/>
  <c r="L51"/>
  <c r="K58"/>
  <c r="M75"/>
  <c r="N75" s="1"/>
  <c r="L93"/>
  <c r="L116"/>
  <c r="L140"/>
  <c r="M153"/>
  <c r="L148"/>
  <c r="K81"/>
  <c r="J102"/>
  <c r="L75"/>
  <c r="I105"/>
  <c r="M105" s="1"/>
  <c r="N105" s="1"/>
  <c r="M117"/>
  <c r="N117" s="1"/>
  <c r="L124"/>
  <c r="M60"/>
  <c r="N60" s="1"/>
  <c r="L87"/>
  <c r="L110"/>
  <c r="J12"/>
  <c r="M12" s="1"/>
  <c r="N12" s="1"/>
  <c r="M16"/>
  <c r="N16" s="1"/>
  <c r="M19"/>
  <c r="N19" s="1"/>
  <c r="L33"/>
  <c r="M42"/>
  <c r="N42" s="1"/>
  <c r="L45"/>
  <c r="M56"/>
  <c r="N56" s="1"/>
  <c r="K59"/>
  <c r="M68"/>
  <c r="N68" s="1"/>
  <c r="I77"/>
  <c r="M77" s="1"/>
  <c r="N77" s="1"/>
  <c r="K79"/>
  <c r="M82"/>
  <c r="N82" s="1"/>
  <c r="L85"/>
  <c r="J106"/>
  <c r="M106" s="1"/>
  <c r="N106" s="1"/>
  <c r="M125"/>
  <c r="N125" s="1"/>
  <c r="M4"/>
  <c r="N4" s="1"/>
  <c r="I38"/>
  <c r="M38" s="1"/>
  <c r="N38" s="1"/>
  <c r="M80"/>
  <c r="N80" s="1"/>
  <c r="M5"/>
  <c r="N5" s="1"/>
  <c r="M17"/>
  <c r="N17" s="1"/>
  <c r="L43"/>
  <c r="K66"/>
  <c r="K80"/>
  <c r="M90"/>
  <c r="N90" s="1"/>
  <c r="I99"/>
  <c r="M123"/>
  <c r="N123" s="1"/>
  <c r="L126"/>
  <c r="M147"/>
  <c r="M15"/>
  <c r="N15" s="1"/>
  <c r="K60"/>
  <c r="M67"/>
  <c r="N67" s="1"/>
  <c r="L134"/>
  <c r="M11"/>
  <c r="N11" s="1"/>
  <c r="M61"/>
  <c r="N61" s="1"/>
  <c r="M70"/>
  <c r="N70" s="1"/>
  <c r="M81"/>
  <c r="N81" s="1"/>
  <c r="M131"/>
  <c r="N131" s="1"/>
  <c r="M59"/>
  <c r="N59" s="1"/>
  <c r="L36"/>
  <c r="K36"/>
  <c r="L97"/>
  <c r="K97"/>
  <c r="K6"/>
  <c r="K4"/>
  <c r="K5"/>
  <c r="K11"/>
  <c r="I13"/>
  <c r="K19"/>
  <c r="K20"/>
  <c r="I22"/>
  <c r="M22" s="1"/>
  <c r="N22" s="1"/>
  <c r="J24"/>
  <c r="M24" s="1"/>
  <c r="N24" s="1"/>
  <c r="M28"/>
  <c r="N28" s="1"/>
  <c r="L31"/>
  <c r="I36"/>
  <c r="M36" s="1"/>
  <c r="N36" s="1"/>
  <c r="J37"/>
  <c r="L41"/>
  <c r="M46"/>
  <c r="N46" s="1"/>
  <c r="L49"/>
  <c r="M54"/>
  <c r="N54" s="1"/>
  <c r="M58"/>
  <c r="N58" s="1"/>
  <c r="K61"/>
  <c r="K62"/>
  <c r="L63"/>
  <c r="M65"/>
  <c r="N65" s="1"/>
  <c r="M66"/>
  <c r="N66" s="1"/>
  <c r="K69"/>
  <c r="K70"/>
  <c r="L71"/>
  <c r="M73"/>
  <c r="N73" s="1"/>
  <c r="M74"/>
  <c r="N74" s="1"/>
  <c r="M78"/>
  <c r="N78" s="1"/>
  <c r="M79"/>
  <c r="N79" s="1"/>
  <c r="K82"/>
  <c r="K83"/>
  <c r="M88"/>
  <c r="N88" s="1"/>
  <c r="L91"/>
  <c r="I97"/>
  <c r="M97" s="1"/>
  <c r="N97" s="1"/>
  <c r="J98"/>
  <c r="L98" s="1"/>
  <c r="K105"/>
  <c r="I107"/>
  <c r="M107" s="1"/>
  <c r="N107" s="1"/>
  <c r="M111"/>
  <c r="N111" s="1"/>
  <c r="L114"/>
  <c r="M119"/>
  <c r="N119" s="1"/>
  <c r="L122"/>
  <c r="M127"/>
  <c r="N127" s="1"/>
  <c r="L130"/>
  <c r="M135"/>
  <c r="L136"/>
  <c r="M143"/>
  <c r="L144"/>
  <c r="M151"/>
  <c r="K3"/>
  <c r="M6"/>
  <c r="N6" s="1"/>
  <c r="M7"/>
  <c r="N7" s="1"/>
  <c r="J8"/>
  <c r="M14"/>
  <c r="N14" s="1"/>
  <c r="K18"/>
  <c r="I26"/>
  <c r="M26" s="1"/>
  <c r="N26" s="1"/>
  <c r="M63"/>
  <c r="N63" s="1"/>
  <c r="M64"/>
  <c r="N64" s="1"/>
  <c r="M71"/>
  <c r="N71" s="1"/>
  <c r="M72"/>
  <c r="N72" s="1"/>
  <c r="M101"/>
  <c r="N101" s="1"/>
  <c r="L132"/>
  <c r="M141"/>
  <c r="L142"/>
  <c r="M149"/>
  <c r="L150"/>
  <c r="K7"/>
  <c r="I9"/>
  <c r="M9" s="1"/>
  <c r="N9" s="1"/>
  <c r="K14"/>
  <c r="J25"/>
  <c r="M25" s="1"/>
  <c r="N25" s="1"/>
  <c r="L29"/>
  <c r="L47"/>
  <c r="M52"/>
  <c r="N52" s="1"/>
  <c r="L55"/>
  <c r="K64"/>
  <c r="K72"/>
  <c r="K77"/>
  <c r="M86"/>
  <c r="N86" s="1"/>
  <c r="L89"/>
  <c r="M94"/>
  <c r="N94" s="1"/>
  <c r="K101"/>
  <c r="I103"/>
  <c r="M103" s="1"/>
  <c r="N103" s="1"/>
  <c r="M109"/>
  <c r="N109" s="1"/>
  <c r="L112"/>
  <c r="L120"/>
  <c r="L128"/>
  <c r="M137"/>
  <c r="L138"/>
  <c r="M145"/>
  <c r="L146"/>
  <c r="L153"/>
  <c r="L13"/>
  <c r="M13"/>
  <c r="N13" s="1"/>
  <c r="K13"/>
  <c r="L22"/>
  <c r="K22"/>
  <c r="L107"/>
  <c r="K107"/>
  <c r="L9"/>
  <c r="K9"/>
  <c r="L57"/>
  <c r="M57"/>
  <c r="N57" s="1"/>
  <c r="K57"/>
  <c r="L103"/>
  <c r="K103"/>
  <c r="L2"/>
  <c r="K2"/>
  <c r="M2"/>
  <c r="N2" s="1"/>
  <c r="L38"/>
  <c r="K38"/>
  <c r="L99"/>
  <c r="K99"/>
  <c r="M99"/>
  <c r="N99" s="1"/>
  <c r="M8"/>
  <c r="N8" s="1"/>
  <c r="M102"/>
  <c r="N102" s="1"/>
  <c r="L26"/>
  <c r="K26"/>
  <c r="L95"/>
  <c r="M95"/>
  <c r="N95" s="1"/>
  <c r="K95"/>
  <c r="M37"/>
  <c r="N37" s="1"/>
  <c r="M98"/>
  <c r="N98" s="1"/>
  <c r="J10"/>
  <c r="L21"/>
  <c r="L30"/>
  <c r="L34"/>
  <c r="L40"/>
  <c r="L46"/>
  <c r="L50"/>
  <c r="L54"/>
  <c r="L86"/>
  <c r="L90"/>
  <c r="L92"/>
  <c r="J104"/>
  <c r="J108"/>
  <c r="L109"/>
  <c r="L111"/>
  <c r="L115"/>
  <c r="L117"/>
  <c r="L119"/>
  <c r="L121"/>
  <c r="L123"/>
  <c r="L125"/>
  <c r="L127"/>
  <c r="L129"/>
  <c r="L131"/>
  <c r="L133"/>
  <c r="L135"/>
  <c r="L137"/>
  <c r="L139"/>
  <c r="L141"/>
  <c r="L143"/>
  <c r="L145"/>
  <c r="L147"/>
  <c r="L149"/>
  <c r="L151"/>
  <c r="L8"/>
  <c r="J23"/>
  <c r="J27"/>
  <c r="L28"/>
  <c r="L32"/>
  <c r="L37"/>
  <c r="J39"/>
  <c r="L42"/>
  <c r="L44"/>
  <c r="L48"/>
  <c r="L52"/>
  <c r="L56"/>
  <c r="J76"/>
  <c r="L84"/>
  <c r="L88"/>
  <c r="L94"/>
  <c r="J96"/>
  <c r="J100"/>
  <c r="L102"/>
  <c r="L106"/>
  <c r="L113"/>
  <c r="K8"/>
  <c r="K21"/>
  <c r="K28"/>
  <c r="M29"/>
  <c r="N29" s="1"/>
  <c r="K30"/>
  <c r="M31"/>
  <c r="N31" s="1"/>
  <c r="K32"/>
  <c r="M33"/>
  <c r="N33" s="1"/>
  <c r="K34"/>
  <c r="M35"/>
  <c r="N35" s="1"/>
  <c r="K37"/>
  <c r="K40"/>
  <c r="M41"/>
  <c r="N41" s="1"/>
  <c r="K42"/>
  <c r="M43"/>
  <c r="N43" s="1"/>
  <c r="K44"/>
  <c r="M45"/>
  <c r="N45" s="1"/>
  <c r="K46"/>
  <c r="M47"/>
  <c r="N47" s="1"/>
  <c r="K48"/>
  <c r="M49"/>
  <c r="N49" s="1"/>
  <c r="K50"/>
  <c r="M51"/>
  <c r="N51" s="1"/>
  <c r="K52"/>
  <c r="M53"/>
  <c r="N53" s="1"/>
  <c r="K54"/>
  <c r="M55"/>
  <c r="N55" s="1"/>
  <c r="K56"/>
  <c r="K84"/>
  <c r="M85"/>
  <c r="N85" s="1"/>
  <c r="K86"/>
  <c r="M87"/>
  <c r="N87" s="1"/>
  <c r="K88"/>
  <c r="M89"/>
  <c r="N89" s="1"/>
  <c r="K90"/>
  <c r="M91"/>
  <c r="N91" s="1"/>
  <c r="K92"/>
  <c r="M93"/>
  <c r="N93" s="1"/>
  <c r="K94"/>
  <c r="K98"/>
  <c r="K102"/>
  <c r="K109"/>
  <c r="M110"/>
  <c r="N110" s="1"/>
  <c r="K111"/>
  <c r="M112"/>
  <c r="N112" s="1"/>
  <c r="K113"/>
  <c r="M114"/>
  <c r="N114" s="1"/>
  <c r="K115"/>
  <c r="M116"/>
  <c r="N116" s="1"/>
  <c r="K117"/>
  <c r="M118"/>
  <c r="N118" s="1"/>
  <c r="K119"/>
  <c r="M120"/>
  <c r="N120" s="1"/>
  <c r="K121"/>
  <c r="M122"/>
  <c r="N122" s="1"/>
  <c r="K123"/>
  <c r="M124"/>
  <c r="N124" s="1"/>
  <c r="K125"/>
  <c r="M126"/>
  <c r="N126" s="1"/>
  <c r="K127"/>
  <c r="M128"/>
  <c r="N128" s="1"/>
  <c r="K129"/>
  <c r="M130"/>
  <c r="N130" s="1"/>
  <c r="K131"/>
  <c r="M132"/>
  <c r="N132" s="1"/>
  <c r="K133"/>
  <c r="M134"/>
  <c r="N134" s="1"/>
  <c r="K135"/>
  <c r="M136"/>
  <c r="K137"/>
  <c r="M138"/>
  <c r="K139"/>
  <c r="M140"/>
  <c r="K141"/>
  <c r="M142"/>
  <c r="K143"/>
  <c r="M144"/>
  <c r="K145"/>
  <c r="M146"/>
  <c r="K147"/>
  <c r="M148"/>
  <c r="K149"/>
  <c r="M150"/>
  <c r="K151"/>
  <c r="M152"/>
  <c r="K153"/>
  <c r="M154"/>
  <c r="L152"/>
  <c r="L154"/>
  <c r="K106" l="1"/>
  <c r="K25"/>
  <c r="K12"/>
  <c r="L25"/>
  <c r="L12"/>
  <c r="L24"/>
  <c r="K24"/>
  <c r="K96"/>
  <c r="M96"/>
  <c r="N96" s="1"/>
  <c r="L96"/>
  <c r="K76"/>
  <c r="M76"/>
  <c r="N76" s="1"/>
  <c r="L76"/>
  <c r="K10"/>
  <c r="M10"/>
  <c r="N10" s="1"/>
  <c r="L10"/>
  <c r="K23"/>
  <c r="M23"/>
  <c r="N23" s="1"/>
  <c r="L23"/>
  <c r="K104"/>
  <c r="M104"/>
  <c r="N104" s="1"/>
  <c r="L104"/>
  <c r="K100"/>
  <c r="M100"/>
  <c r="N100" s="1"/>
  <c r="L100"/>
  <c r="K39"/>
  <c r="M39"/>
  <c r="N39" s="1"/>
  <c r="L39"/>
  <c r="K27"/>
  <c r="M27"/>
  <c r="N27" s="1"/>
  <c r="L27"/>
  <c r="K108"/>
  <c r="M108"/>
  <c r="N108" s="1"/>
  <c r="L108"/>
  <c r="P3" i="9" l="1"/>
  <c r="F3"/>
  <c r="Q2" i="4" l="1"/>
</calcChain>
</file>

<file path=xl/sharedStrings.xml><?xml version="1.0" encoding="utf-8"?>
<sst xmlns="http://schemas.openxmlformats.org/spreadsheetml/2006/main" count="796" uniqueCount="353">
  <si>
    <t>Layer Number:</t>
  </si>
  <si>
    <t>Total Layers:</t>
  </si>
  <si>
    <t>Directory:</t>
  </si>
  <si>
    <t>Import Layer Names</t>
  </si>
  <si>
    <t>Layer Name:</t>
  </si>
  <si>
    <t>Model:</t>
  </si>
  <si>
    <t>Define Dir</t>
  </si>
  <si>
    <t>Span</t>
  </si>
  <si>
    <t>Lateral</t>
  </si>
  <si>
    <t>Up</t>
  </si>
  <si>
    <t>ACAD</t>
  </si>
  <si>
    <t>SAP</t>
  </si>
  <si>
    <t>+ X</t>
  </si>
  <si>
    <t>+ Y</t>
  </si>
  <si>
    <t>+ Z</t>
  </si>
  <si>
    <t>- X</t>
  </si>
  <si>
    <t>- Y</t>
  </si>
  <si>
    <t>- Z</t>
  </si>
  <si>
    <t>Object.ID</t>
  </si>
  <si>
    <t>X</t>
  </si>
  <si>
    <t>Y</t>
  </si>
  <si>
    <t>Z</t>
  </si>
  <si>
    <t>Objects in Layer:</t>
  </si>
  <si>
    <t>Total Objects:</t>
  </si>
  <si>
    <t>Material Properties</t>
  </si>
  <si>
    <t>MATERIAL_STEEL</t>
  </si>
  <si>
    <t>MATERIAL_CONCRETE</t>
  </si>
  <si>
    <t>MATERIAL_NODESIGN</t>
  </si>
  <si>
    <t>MATERIAL_ALUMINUM</t>
  </si>
  <si>
    <t>MATERIAL_COLDFORMED</t>
  </si>
  <si>
    <t>MATERIAL_REBAR</t>
  </si>
  <si>
    <t>MATERIAL_TENDON</t>
  </si>
  <si>
    <t>Type</t>
  </si>
  <si>
    <t>Price ($/ft)</t>
  </si>
  <si>
    <t>I.D. (in)</t>
  </si>
  <si>
    <t>O.D. (in)</t>
  </si>
  <si>
    <t>w (in)</t>
  </si>
  <si>
    <t>t (in)</t>
  </si>
  <si>
    <t>Wt. (lb/ft)</t>
  </si>
  <si>
    <r>
      <t>A (in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</si>
  <si>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r>
      <t>I</t>
    </r>
    <r>
      <rPr>
        <vertAlign val="subscript"/>
        <sz val="11"/>
        <color theme="1"/>
        <rFont val="Calibri"/>
        <family val="2"/>
        <scheme val="minor"/>
      </rPr>
      <t>x</t>
    </r>
    <r>
      <rPr>
        <sz val="11"/>
        <color theme="1"/>
        <rFont val="Calibri"/>
        <family val="2"/>
        <scheme val="minor"/>
      </rPr>
      <t xml:space="preserve"> (in</t>
    </r>
    <r>
      <rPr>
        <vertAlign val="super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>)</t>
    </r>
  </si>
  <si>
    <r>
      <t>S</t>
    </r>
    <r>
      <rPr>
        <vertAlign val="subscript"/>
        <sz val="11"/>
        <color theme="1"/>
        <rFont val="Calibri"/>
        <family val="2"/>
        <scheme val="minor"/>
      </rPr>
      <t>x</t>
    </r>
    <r>
      <rPr>
        <sz val="11"/>
        <color theme="1"/>
        <rFont val="Calibri"/>
        <family val="2"/>
        <scheme val="minor"/>
      </rPr>
      <t xml:space="preserve"> (in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)</t>
    </r>
  </si>
  <si>
    <r>
      <t>J (in</t>
    </r>
    <r>
      <rPr>
        <vertAlign val="super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>)</t>
    </r>
  </si>
  <si>
    <r>
      <t>r</t>
    </r>
    <r>
      <rPr>
        <vertAlign val="subscript"/>
        <sz val="11"/>
        <color theme="1"/>
        <rFont val="Calibri"/>
        <family val="2"/>
        <scheme val="minor"/>
      </rPr>
      <t xml:space="preserve">x </t>
    </r>
    <r>
      <rPr>
        <sz val="11"/>
        <color theme="1"/>
        <rFont val="Calibri"/>
        <family val="2"/>
        <scheme val="minor"/>
      </rPr>
      <t>(in)</t>
    </r>
  </si>
  <si>
    <r>
      <t>r</t>
    </r>
    <r>
      <rPr>
        <vertAlign val="subscript"/>
        <sz val="11"/>
        <color theme="1"/>
        <rFont val="Calibri"/>
        <family val="2"/>
        <scheme val="minor"/>
      </rPr>
      <t>min</t>
    </r>
    <r>
      <rPr>
        <sz val="11"/>
        <color theme="1"/>
        <rFont val="Calibri"/>
        <family val="2"/>
        <scheme val="minor"/>
      </rPr>
      <t xml:space="preserve"> (in)</t>
    </r>
  </si>
  <si>
    <t>R3/16X035-41</t>
  </si>
  <si>
    <t>PIPE</t>
  </si>
  <si>
    <t>R1/4X028-41</t>
  </si>
  <si>
    <t>R1/4X035-41</t>
  </si>
  <si>
    <t>R1/4X049-41</t>
  </si>
  <si>
    <t>R1/4X058-41</t>
  </si>
  <si>
    <t>R1/4X065-41</t>
  </si>
  <si>
    <t>R5/16X028-41</t>
  </si>
  <si>
    <t>R5/16X035-41</t>
  </si>
  <si>
    <t>R5/16X049-41</t>
  </si>
  <si>
    <t>R5/16X058-41</t>
  </si>
  <si>
    <t>R5/16X065-41</t>
  </si>
  <si>
    <t>R3/8X028-41</t>
  </si>
  <si>
    <t>R3/8X035-41</t>
  </si>
  <si>
    <t>R3/8X049-41</t>
  </si>
  <si>
    <t>R3/8X058-41</t>
  </si>
  <si>
    <t>R3/8X065-41</t>
  </si>
  <si>
    <t>R3/8X083-41</t>
  </si>
  <si>
    <t>R3/8X095-41</t>
  </si>
  <si>
    <t>R7/16X035-41</t>
  </si>
  <si>
    <t>R7/16X049-41</t>
  </si>
  <si>
    <t>R7/16X058-41</t>
  </si>
  <si>
    <t>R7/16X065-41</t>
  </si>
  <si>
    <t>R7/16X095-41</t>
  </si>
  <si>
    <t>R7/16X120-41</t>
  </si>
  <si>
    <t>R1/2X028-41</t>
  </si>
  <si>
    <t>R1/2X035-41</t>
  </si>
  <si>
    <t>R1/2X049-41</t>
  </si>
  <si>
    <t>R1/2X058-41</t>
  </si>
  <si>
    <t>R1/2X065-41</t>
  </si>
  <si>
    <t>R1/2X083-41</t>
  </si>
  <si>
    <t>R1/2X095-41</t>
  </si>
  <si>
    <t>R1/2X120-41</t>
  </si>
  <si>
    <t>R9/16X035-41</t>
  </si>
  <si>
    <t>R9/16X049-41</t>
  </si>
  <si>
    <t>R9/16X065-41</t>
  </si>
  <si>
    <t>R9/16X120-41</t>
  </si>
  <si>
    <t>R5/8X028-41</t>
  </si>
  <si>
    <t>R5/8X035-41</t>
  </si>
  <si>
    <t>R5/8X049-41</t>
  </si>
  <si>
    <t>R5/8X058-41</t>
  </si>
  <si>
    <t>R5/8X065-41</t>
  </si>
  <si>
    <t>R5/8X095-41</t>
  </si>
  <si>
    <t>R5/8X120-41</t>
  </si>
  <si>
    <t>R5/8X156-41</t>
  </si>
  <si>
    <t>R3/4X028-41</t>
  </si>
  <si>
    <t>R3/4X035-41</t>
  </si>
  <si>
    <t>R3/4X049-41</t>
  </si>
  <si>
    <t>R3/4X058-41</t>
  </si>
  <si>
    <t>R3/4X065-41</t>
  </si>
  <si>
    <t>R3/4X095-41</t>
  </si>
  <si>
    <t>R3/4X120-41</t>
  </si>
  <si>
    <t>R3/4X156-41</t>
  </si>
  <si>
    <t>R3/4X188-41</t>
  </si>
  <si>
    <t>R7/8X028-41</t>
  </si>
  <si>
    <t>R7/8X035-41</t>
  </si>
  <si>
    <t>R7/8X049-41</t>
  </si>
  <si>
    <t>R7/8X058-41</t>
  </si>
  <si>
    <t>R7/8X065-41</t>
  </si>
  <si>
    <t>R7/8X083-41</t>
  </si>
  <si>
    <t>R7/8X095-41</t>
  </si>
  <si>
    <t>R7/8X120-41</t>
  </si>
  <si>
    <t>R7/8X188-41</t>
  </si>
  <si>
    <t>R1X028-41</t>
  </si>
  <si>
    <t>R1X035-41</t>
  </si>
  <si>
    <t>R1X049-41</t>
  </si>
  <si>
    <t>R1X058-41</t>
  </si>
  <si>
    <t>R1X065-41</t>
  </si>
  <si>
    <t>R1X083-41</t>
  </si>
  <si>
    <t>R1X095-41</t>
  </si>
  <si>
    <t>R1X120-41</t>
  </si>
  <si>
    <t>R1X156-41</t>
  </si>
  <si>
    <t>R1X188-41</t>
  </si>
  <si>
    <t>R1X250-41</t>
  </si>
  <si>
    <t>R1-1/8X035-41</t>
  </si>
  <si>
    <t>R1-1/8X049-41</t>
  </si>
  <si>
    <t>R1-1/8X058-41</t>
  </si>
  <si>
    <t>R1-1/8X065-41</t>
  </si>
  <si>
    <t>R1-1/8X095-41</t>
  </si>
  <si>
    <t>R1-1/8X120-41</t>
  </si>
  <si>
    <t>R1-1/8X250-41</t>
  </si>
  <si>
    <t>R1-1/4X035-41</t>
  </si>
  <si>
    <t>R1-1/4X049-41</t>
  </si>
  <si>
    <t>R1-1/4X058-41</t>
  </si>
  <si>
    <t>R1-1/4X065-41</t>
  </si>
  <si>
    <t>R1-1/4X083-41</t>
  </si>
  <si>
    <t>R1-1/4X095-41</t>
  </si>
  <si>
    <t>R1-1/4X120-41</t>
  </si>
  <si>
    <t>R1-1/4X156-41</t>
  </si>
  <si>
    <t>R1-1/4X250-41</t>
  </si>
  <si>
    <t>R1-3/8X035-41</t>
  </si>
  <si>
    <t>R1-3/8X049-41</t>
  </si>
  <si>
    <t>R1-3/8X058-41</t>
  </si>
  <si>
    <t>R1-3/8X065-41</t>
  </si>
  <si>
    <t>R1-3/8X095-41</t>
  </si>
  <si>
    <t>R1-3/8X120-41</t>
  </si>
  <si>
    <t>R1-1/2X035-41</t>
  </si>
  <si>
    <t>R1-1/2X049-41</t>
  </si>
  <si>
    <t>R1-1/2X058-41</t>
  </si>
  <si>
    <t>R1-1/2X065-41</t>
  </si>
  <si>
    <t>R1-1/2X083-41</t>
  </si>
  <si>
    <t>R1-1/2X095-41</t>
  </si>
  <si>
    <t>R1-1/2X120-41</t>
  </si>
  <si>
    <t>R1-1/2X188-41</t>
  </si>
  <si>
    <t>R1-5/8X049-41</t>
  </si>
  <si>
    <t>R1-5/8X058-41</t>
  </si>
  <si>
    <t>R1-5/8X065-41</t>
  </si>
  <si>
    <t>R1-5/8X083-41</t>
  </si>
  <si>
    <t>R1-5/8X095-41</t>
  </si>
  <si>
    <t>R1-5/8X120-41</t>
  </si>
  <si>
    <t>R1-5/8X156-41</t>
  </si>
  <si>
    <t>R1-5/8X188-41</t>
  </si>
  <si>
    <t>R1-3/4X049-41</t>
  </si>
  <si>
    <t>R1-3/4X058-41</t>
  </si>
  <si>
    <t>R1-3/4X065-41</t>
  </si>
  <si>
    <t>R1-3/4X095-41</t>
  </si>
  <si>
    <t>R1-3/4X120-41</t>
  </si>
  <si>
    <t>R1-3/4X188-41</t>
  </si>
  <si>
    <t>R2X049-41</t>
  </si>
  <si>
    <t>R2X065-41</t>
  </si>
  <si>
    <t>R2X095-41</t>
  </si>
  <si>
    <t>R2X120-41</t>
  </si>
  <si>
    <t>R2X188-41</t>
  </si>
  <si>
    <t>R2-1/4X120-41</t>
  </si>
  <si>
    <t>R2-1/4X250-41</t>
  </si>
  <si>
    <t>R2-1/2X120-41</t>
  </si>
  <si>
    <t>R2-1/2X250-41</t>
  </si>
  <si>
    <t xml:space="preserve">SQ3/8X035-41 </t>
  </si>
  <si>
    <t>TUBE</t>
  </si>
  <si>
    <t xml:space="preserve">SQ1/2X035-41 </t>
  </si>
  <si>
    <t xml:space="preserve">SQ1/2X049-41 </t>
  </si>
  <si>
    <t xml:space="preserve">SQ5/8X035-41 </t>
  </si>
  <si>
    <t xml:space="preserve">SQ5/8X049-41 </t>
  </si>
  <si>
    <t xml:space="preserve">SQ5/8X065-41 </t>
  </si>
  <si>
    <t xml:space="preserve">SQ3/4X035-41 </t>
  </si>
  <si>
    <t xml:space="preserve">SQ3/4X049-41 </t>
  </si>
  <si>
    <t xml:space="preserve">SQ3/4X058-41 </t>
  </si>
  <si>
    <t xml:space="preserve">SQ3/4X065-41 </t>
  </si>
  <si>
    <t xml:space="preserve">SQ7/8X049-41 </t>
  </si>
  <si>
    <t xml:space="preserve">SQ7/8X065-41 </t>
  </si>
  <si>
    <t xml:space="preserve">SQ1X035-41 </t>
  </si>
  <si>
    <t xml:space="preserve">SQ1X049-41 </t>
  </si>
  <si>
    <t xml:space="preserve">SQ1X065-41 </t>
  </si>
  <si>
    <t>Name/Item #</t>
  </si>
  <si>
    <t>Support</t>
  </si>
  <si>
    <t>End</t>
  </si>
  <si>
    <t>I -End</t>
  </si>
  <si>
    <t>J -End</t>
  </si>
  <si>
    <t>Define the 'Bridge' coordinate system as it corresponds to the model's WCS definition in AutoCAD.</t>
  </si>
  <si>
    <t>'Up' is directed opposite to the direction of gravity.</t>
  </si>
  <si>
    <t>First assign tubing sections to the model by AutoCAD layer.</t>
  </si>
  <si>
    <t>Refer to the 'Tubing Database' for detailed information on sections.</t>
  </si>
  <si>
    <t>Once you've specified all of the tubing sizes you want, press the button below:</t>
  </si>
  <si>
    <t>assigns frames to groups based on ACAD layer names,</t>
  </si>
  <si>
    <t>defines and assigns "4130" Chromoly properties to all tubings by default,</t>
  </si>
  <si>
    <t>and assigns the specified frame sections to each layer/group.)</t>
  </si>
  <si>
    <t>minZ</t>
  </si>
  <si>
    <t>Support 1</t>
  </si>
  <si>
    <t>Number of Supports Detected:</t>
  </si>
  <si>
    <t>Number of Constraint Configurations:</t>
  </si>
  <si>
    <t>Restraint Config</t>
  </si>
  <si>
    <t>Pin</t>
  </si>
  <si>
    <t>Roller</t>
  </si>
  <si>
    <t>Config. 1</t>
  </si>
  <si>
    <t>Support 2</t>
  </si>
  <si>
    <t>Support 3</t>
  </si>
  <si>
    <t>Support 4</t>
  </si>
  <si>
    <t>(Works best with only 4 points for supports. Any more screws up the definitions.)</t>
  </si>
  <si>
    <t>i.e. negelect modeling the footings (this is conservative, in any case)</t>
  </si>
  <si>
    <t xml:space="preserve">Setup Instructions: </t>
  </si>
  <si>
    <t>If you encounter any difficulties or find that something isn't working properly, please contact:</t>
  </si>
  <si>
    <t>Brian Giffin</t>
  </si>
  <si>
    <t>bdgiffin@ucdavis.edu</t>
  </si>
  <si>
    <t>Side</t>
  </si>
  <si>
    <t>Feature Ref.</t>
  </si>
  <si>
    <t>Direction</t>
  </si>
  <si>
    <t>Pattern Name</t>
  </si>
  <si>
    <t>A</t>
  </si>
  <si>
    <t>Both</t>
  </si>
  <si>
    <t>Side(s)</t>
  </si>
  <si>
    <t>GRAVITY</t>
  </si>
  <si>
    <t>Start Point (in)</t>
  </si>
  <si>
    <t>End Point (in)</t>
  </si>
  <si>
    <t>Left</t>
  </si>
  <si>
    <t>Right</t>
  </si>
  <si>
    <t>Mag. (kips/in)</t>
  </si>
  <si>
    <t>Total number of distributed load assignments:</t>
  </si>
  <si>
    <t>Name of ACAD layer/SAP group for Decking:</t>
  </si>
  <si>
    <t>Total number of point load assignments:</t>
  </si>
  <si>
    <t>Dist Pat ID</t>
  </si>
  <si>
    <t>Point Pat ID</t>
  </si>
  <si>
    <t>Mag. (kips)</t>
  </si>
  <si>
    <t>Point ID</t>
  </si>
  <si>
    <t>Point Name</t>
  </si>
  <si>
    <t>Span Coordinate (in)</t>
  </si>
  <si>
    <t>Total number of points of interest:</t>
  </si>
  <si>
    <t>Decking layer/group has been defined as:</t>
  </si>
  <si>
    <t>R5/16X083-41</t>
  </si>
  <si>
    <t>N/A</t>
  </si>
  <si>
    <t>R7/16X028-41</t>
  </si>
  <si>
    <t>R5/8X083-41</t>
  </si>
  <si>
    <t>R1-3/16X095-41</t>
  </si>
  <si>
    <t>R1-3/4X035-41</t>
  </si>
  <si>
    <t>R1-7/8X120-41</t>
  </si>
  <si>
    <t>R2X156-41</t>
  </si>
  <si>
    <t xml:space="preserve">SQ1/2X095-41 </t>
  </si>
  <si>
    <t xml:space="preserve">SQ7/8X035-41 </t>
  </si>
  <si>
    <t xml:space="preserve">SQ1X058-41 </t>
  </si>
  <si>
    <t xml:space="preserve">SQ1-1/8X049-41 </t>
  </si>
  <si>
    <t>SQ1-1/8X058-41</t>
  </si>
  <si>
    <t>(The current implementation imports frame sections,</t>
  </si>
  <si>
    <t>imports all tubing sections properties into the SAP tubing definitions,</t>
  </si>
  <si>
    <t>AutoCAD Layer/SAP Group Name</t>
  </si>
  <si>
    <t>Tubing Section</t>
  </si>
  <si>
    <t>Layer/Group ID</t>
  </si>
  <si>
    <t>Define the 'Span' direction as going from the "Left" to the "Right" side of the bridge.</t>
  </si>
  <si>
    <r>
      <rPr>
        <sz val="11"/>
        <color rgb="FFFF0000"/>
        <rFont val="Calibri"/>
        <family val="2"/>
        <scheme val="minor"/>
      </rPr>
      <t xml:space="preserve">NOTE: </t>
    </r>
    <r>
      <rPr>
        <sz val="11"/>
        <color theme="1"/>
        <rFont val="Calibri"/>
        <family val="2"/>
        <scheme val="minor"/>
      </rPr>
      <t>Excel will refuse to plot more than 256 lineseries.</t>
    </r>
  </si>
  <si>
    <r>
      <rPr>
        <sz val="11"/>
        <color rgb="FF0000FF"/>
        <rFont val="Calibri"/>
        <family val="2"/>
        <scheme val="minor"/>
      </rPr>
      <t>NOTE:</t>
    </r>
    <r>
      <rPr>
        <sz val="11"/>
        <color theme="1"/>
        <rFont val="Calibri"/>
        <family val="2"/>
        <scheme val="minor"/>
      </rPr>
      <t xml:space="preserve"> The tubing database may be actively modified to suit the needs of the user.</t>
    </r>
  </si>
  <si>
    <t>Tubing sections can be added or removed at will, provided all required fields are specified: Name, Type, O.D. or w, and t</t>
  </si>
  <si>
    <t>PIPE sections are circular tubes, and TUBE sections are square tubes</t>
  </si>
  <si>
    <t>All tubing sections are initialized with the "4130" Chromoly material property</t>
  </si>
  <si>
    <t>Version:</t>
  </si>
  <si>
    <t>or</t>
  </si>
  <si>
    <t>Length of Decking (in):</t>
  </si>
  <si>
    <t>Lat1</t>
  </si>
  <si>
    <t>Lat2</t>
  </si>
  <si>
    <t>C</t>
  </si>
  <si>
    <t>SXDcL</t>
  </si>
  <si>
    <t>S1-4DbL</t>
  </si>
  <si>
    <t>S1-4DbR</t>
  </si>
  <si>
    <t>S2-5DbL</t>
  </si>
  <si>
    <t>S2-5DbR</t>
  </si>
  <si>
    <t>S3-6DbL</t>
  </si>
  <si>
    <t>S3-6DbR</t>
  </si>
  <si>
    <t>Comment: Points cannot overlap</t>
  </si>
  <si>
    <t>Notes:</t>
  </si>
  <si>
    <t>Step 0</t>
  </si>
  <si>
    <t>place both decking units</t>
  </si>
  <si>
    <t>Step 1</t>
  </si>
  <si>
    <t>Wb Load</t>
  </si>
  <si>
    <t>Step 2</t>
  </si>
  <si>
    <t>Wc Load</t>
  </si>
  <si>
    <t>Case1Step0</t>
  </si>
  <si>
    <t>Case2Step0</t>
  </si>
  <si>
    <t>Case3Step0</t>
  </si>
  <si>
    <t>Case4Step0</t>
  </si>
  <si>
    <t>Case5Step0</t>
  </si>
  <si>
    <t>Case6Step0</t>
  </si>
  <si>
    <t>RLat1</t>
  </si>
  <si>
    <t>RLat2</t>
  </si>
  <si>
    <t>LateralPull1</t>
  </si>
  <si>
    <t>LateralPull2</t>
  </si>
  <si>
    <t>RLateralPull1</t>
  </si>
  <si>
    <t>RLateralPull2</t>
  </si>
  <si>
    <t>Chords</t>
  </si>
  <si>
    <t>Webbing</t>
  </si>
  <si>
    <t>Notes</t>
  </si>
  <si>
    <t>Decking Unit 1</t>
  </si>
  <si>
    <t>Decking Unit 2</t>
  </si>
  <si>
    <t>Load Wb and Decking Unit 1</t>
  </si>
  <si>
    <t>Load Wc and Decking Unit 2</t>
  </si>
  <si>
    <t>Case1Step1</t>
  </si>
  <si>
    <t>Case1Step2</t>
  </si>
  <si>
    <t>Case2Step1</t>
  </si>
  <si>
    <t>Case2Step2</t>
  </si>
  <si>
    <t>Case3Step1</t>
  </si>
  <si>
    <t>Case3Step2</t>
  </si>
  <si>
    <t>Case4Step1</t>
  </si>
  <si>
    <t>Case4Step2</t>
  </si>
  <si>
    <t>Case5Step1</t>
  </si>
  <si>
    <t>Case5Step2</t>
  </si>
  <si>
    <t>Case6Step1</t>
  </si>
  <si>
    <t>Case6Step2</t>
  </si>
  <si>
    <t>16.10.3</t>
  </si>
  <si>
    <t>● Go to the 'Developer' tab and click on the 'Visual Basic' button; you'll need to make some configuration adjustments.</t>
  </si>
  <si>
    <t>● In the Visual Basic window that pops up, go to the 'Tools' menu at the top of the screen and select 'References…'</t>
  </si>
  <si>
    <t>● You'll need working copies of both AutoCAD and SAP2000 v15 for this to work. Other versions are not yet supported…</t>
  </si>
  <si>
    <t>● In the window that pops up for 'References…', scroll through the list of Available References and check the boxes for</t>
  </si>
  <si>
    <t xml:space="preserve">    anything that relates to either AutoCAD or SAP2000. Click 'Ok' to save these changes. Close the Visual Basic window.</t>
  </si>
  <si>
    <t>● Proceed in constructing your model by following through the steps outlined in each rainbow colored excel tab.</t>
  </si>
  <si>
    <t>● Then, make sure that the 'Developer' tab is visible: File&gt;Excel Options&gt;Popular&gt;Show Developer tab in the Ribbon.</t>
  </si>
  <si>
    <r>
      <rPr>
        <sz val="11"/>
        <color theme="1"/>
        <rFont val="Calibri"/>
        <family val="2"/>
      </rPr>
      <t xml:space="preserve">● </t>
    </r>
    <r>
      <rPr>
        <sz val="11"/>
        <color theme="1"/>
        <rFont val="Calibri"/>
        <family val="2"/>
        <scheme val="minor"/>
      </rPr>
      <t>First, ensure that the '</t>
    </r>
    <r>
      <rPr>
        <b/>
        <sz val="11"/>
        <color theme="1"/>
        <rFont val="Calibri"/>
        <family val="2"/>
        <scheme val="minor"/>
      </rPr>
      <t>Calculation Options</t>
    </r>
    <r>
      <rPr>
        <sz val="11"/>
        <color theme="1"/>
        <rFont val="Calibri"/>
        <family val="2"/>
        <scheme val="minor"/>
      </rPr>
      <t>' are set to '</t>
    </r>
    <r>
      <rPr>
        <i/>
        <sz val="11"/>
        <color theme="1"/>
        <rFont val="Calibri"/>
        <family val="2"/>
        <scheme val="minor"/>
      </rPr>
      <t>Automatic</t>
    </r>
    <r>
      <rPr>
        <sz val="11"/>
        <color theme="1"/>
        <rFont val="Calibri"/>
        <family val="2"/>
        <scheme val="minor"/>
      </rPr>
      <t>.'</t>
    </r>
  </si>
  <si>
    <r>
      <rPr>
        <sz val="11"/>
        <color theme="1"/>
        <rFont val="Calibri"/>
        <family val="2"/>
      </rPr>
      <t xml:space="preserve">● </t>
    </r>
    <r>
      <rPr>
        <sz val="11"/>
        <color theme="1"/>
        <rFont val="Calibri"/>
        <family val="2"/>
        <scheme val="minor"/>
      </rPr>
      <t xml:space="preserve">Next, you'll want to </t>
    </r>
    <r>
      <rPr>
        <b/>
        <sz val="11"/>
        <color theme="1"/>
        <rFont val="Calibri"/>
        <family val="2"/>
        <scheme val="minor"/>
      </rPr>
      <t>enable macros</t>
    </r>
    <r>
      <rPr>
        <sz val="11"/>
        <color theme="1"/>
        <rFont val="Calibri"/>
        <family val="2"/>
        <scheme val="minor"/>
      </rPr>
      <t xml:space="preserve"> for this worksheet.</t>
    </r>
  </si>
  <si>
    <t>Basis</t>
  </si>
  <si>
    <t>Vectors</t>
  </si>
  <si>
    <t>Transformation Matrix</t>
  </si>
  <si>
    <t>C:\Users\Brian Giffin\Documents\Steel Bridge 2016-2017\design_review\</t>
  </si>
  <si>
    <t>5.3 2D Version Half Mini Deck Modified.dwg</t>
  </si>
  <si>
    <t>Laterals X</t>
  </si>
  <si>
    <t>X Tendons Bottom</t>
  </si>
  <si>
    <t>Decking Surface</t>
  </si>
  <si>
    <t>X Tendons Top</t>
  </si>
  <si>
    <t>Wings Ourcrop</t>
  </si>
  <si>
    <t>Wings Deck</t>
  </si>
  <si>
    <t>Laterals Main</t>
  </si>
  <si>
    <t>Laterals Web</t>
  </si>
  <si>
    <t>Legs Main</t>
  </si>
  <si>
    <t>Legs Outline</t>
  </si>
  <si>
    <t>Legs Webbing</t>
  </si>
  <si>
    <t>Laterals Legs</t>
  </si>
  <si>
    <t>MirSXDcL</t>
  </si>
  <si>
    <t>MirS1-4DbL</t>
  </si>
  <si>
    <t>MirS1-4DbR</t>
  </si>
  <si>
    <t>MirS2-5DbL</t>
  </si>
  <si>
    <t>MirS2-5DbR</t>
  </si>
  <si>
    <t>MirS3-6DbL</t>
  </si>
  <si>
    <t>MirS3-6DbR</t>
  </si>
  <si>
    <t>LatStep0</t>
  </si>
</sst>
</file>

<file path=xl/styles.xml><?xml version="1.0" encoding="utf-8"?>
<styleSheet xmlns="http://schemas.openxmlformats.org/spreadsheetml/2006/main">
  <numFmts count="3">
    <numFmt numFmtId="164" formatCode="0.0000"/>
    <numFmt numFmtId="165" formatCode="0.000"/>
    <numFmt numFmtId="166" formatCode="0.00000"/>
  </numFmts>
  <fonts count="18">
    <font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11"/>
      <color theme="1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1"/>
      <name val="Fixedsys"/>
      <family val="3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6600"/>
      <name val="Calibri"/>
      <family val="2"/>
      <scheme val="minor"/>
    </font>
    <font>
      <b/>
      <sz val="11"/>
      <color rgb="FFFFCC00"/>
      <name val="Calibri"/>
      <family val="2"/>
      <scheme val="minor"/>
    </font>
    <font>
      <b/>
      <sz val="11"/>
      <color rgb="FF99CC00"/>
      <name val="Calibri"/>
      <family val="2"/>
      <scheme val="minor"/>
    </font>
    <font>
      <b/>
      <sz val="11"/>
      <color rgb="FF00CCFF"/>
      <name val="Calibri"/>
      <family val="2"/>
      <scheme val="minor"/>
    </font>
    <font>
      <b/>
      <sz val="11"/>
      <color rgb="FF800080"/>
      <name val="Calibri"/>
      <family val="2"/>
      <scheme val="minor"/>
    </font>
    <font>
      <sz val="10"/>
      <color rgb="FF0000FF"/>
      <name val="Calibri"/>
      <family val="2"/>
      <scheme val="minor"/>
    </font>
    <font>
      <sz val="11"/>
      <color theme="1"/>
      <name val="Calibri"/>
      <family val="2"/>
    </font>
  </fonts>
  <fills count="2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>
      <alignment vertical="top"/>
      <protection locked="0"/>
    </xf>
  </cellStyleXfs>
  <cellXfs count="62">
    <xf numFmtId="0" fontId="0" fillId="0" borderId="0" xfId="0"/>
    <xf numFmtId="0" fontId="0" fillId="0" borderId="0" xfId="0" quotePrefix="1"/>
    <xf numFmtId="0" fontId="0" fillId="0" borderId="0" xfId="0" applyAlignment="1"/>
    <xf numFmtId="164" fontId="0" fillId="0" borderId="0" xfId="0" applyNumberFormat="1"/>
    <xf numFmtId="166" fontId="0" fillId="0" borderId="0" xfId="0" applyNumberFormat="1"/>
    <xf numFmtId="0" fontId="0" fillId="2" borderId="3" xfId="0" applyFill="1" applyBorder="1"/>
    <xf numFmtId="0" fontId="0" fillId="2" borderId="4" xfId="0" applyFill="1" applyBorder="1"/>
    <xf numFmtId="0" fontId="0" fillId="2" borderId="5" xfId="0" quotePrefix="1" applyFill="1" applyBorder="1"/>
    <xf numFmtId="0" fontId="0" fillId="2" borderId="5" xfId="0" applyFill="1" applyBorder="1"/>
    <xf numFmtId="0" fontId="3" fillId="0" borderId="1" xfId="0" applyFont="1" applyBorder="1"/>
    <xf numFmtId="0" fontId="3" fillId="0" borderId="2" xfId="0" applyFont="1" applyBorder="1"/>
    <xf numFmtId="0" fontId="0" fillId="3" borderId="0" xfId="0" applyFill="1"/>
    <xf numFmtId="0" fontId="0" fillId="3" borderId="0" xfId="0" quotePrefix="1" applyFill="1"/>
    <xf numFmtId="0" fontId="0" fillId="0" borderId="0" xfId="0" applyFill="1"/>
    <xf numFmtId="0" fontId="0" fillId="3" borderId="3" xfId="0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0" fontId="4" fillId="0" borderId="0" xfId="0" applyFont="1" applyAlignment="1">
      <alignment horizontal="right"/>
    </xf>
    <xf numFmtId="0" fontId="5" fillId="0" borderId="0" xfId="1" applyAlignment="1" applyProtection="1"/>
    <xf numFmtId="0" fontId="6" fillId="0" borderId="0" xfId="0" applyFont="1" applyAlignment="1">
      <alignment horizontal="right"/>
    </xf>
    <xf numFmtId="0" fontId="6" fillId="0" borderId="0" xfId="0" applyFont="1"/>
    <xf numFmtId="0" fontId="6" fillId="0" borderId="0" xfId="0" applyFont="1" applyAlignment="1"/>
    <xf numFmtId="0" fontId="6" fillId="0" borderId="6" xfId="0" applyFont="1" applyBorder="1"/>
    <xf numFmtId="0" fontId="6" fillId="0" borderId="7" xfId="0" applyFont="1" applyBorder="1"/>
    <xf numFmtId="0" fontId="6" fillId="0" borderId="8" xfId="0" applyFont="1" applyBorder="1"/>
    <xf numFmtId="0" fontId="0" fillId="0" borderId="7" xfId="0" applyBorder="1"/>
    <xf numFmtId="0" fontId="7" fillId="0" borderId="9" xfId="0" applyFont="1" applyBorder="1"/>
    <xf numFmtId="0" fontId="7" fillId="0" borderId="6" xfId="0" applyFont="1" applyBorder="1"/>
    <xf numFmtId="0" fontId="3" fillId="0" borderId="0" xfId="0" applyFont="1"/>
    <xf numFmtId="0" fontId="7" fillId="0" borderId="0" xfId="0" applyFont="1"/>
    <xf numFmtId="49" fontId="3" fillId="0" borderId="0" xfId="0" applyNumberFormat="1" applyFont="1"/>
    <xf numFmtId="2" fontId="3" fillId="0" borderId="0" xfId="0" applyNumberFormat="1" applyFont="1"/>
    <xf numFmtId="164" fontId="3" fillId="0" borderId="0" xfId="0" applyNumberFormat="1" applyFont="1"/>
    <xf numFmtId="165" fontId="3" fillId="0" borderId="0" xfId="0" applyNumberFormat="1" applyFont="1"/>
    <xf numFmtId="166" fontId="3" fillId="0" borderId="0" xfId="0" applyNumberFormat="1" applyFont="1"/>
    <xf numFmtId="164" fontId="3" fillId="0" borderId="0" xfId="0" applyNumberFormat="1" applyFont="1" applyAlignment="1">
      <alignment horizontal="right"/>
    </xf>
    <xf numFmtId="0" fontId="0" fillId="0" borderId="0" xfId="0" applyBorder="1"/>
    <xf numFmtId="0" fontId="6" fillId="0" borderId="0" xfId="0" applyFont="1" applyBorder="1"/>
    <xf numFmtId="0" fontId="8" fillId="0" borderId="0" xfId="0" applyFont="1" applyAlignment="1">
      <alignment horizontal="right"/>
    </xf>
    <xf numFmtId="0" fontId="8" fillId="0" borderId="0" xfId="0" applyFont="1" applyAlignment="1">
      <alignment horizontal="left"/>
    </xf>
    <xf numFmtId="0" fontId="9" fillId="0" borderId="0" xfId="0" applyFont="1" applyAlignment="1">
      <alignment horizontal="center"/>
    </xf>
    <xf numFmtId="0" fontId="3" fillId="4" borderId="0" xfId="0" applyFont="1" applyFill="1"/>
    <xf numFmtId="0" fontId="3" fillId="5" borderId="0" xfId="0" applyFont="1" applyFill="1"/>
    <xf numFmtId="0" fontId="3" fillId="6" borderId="0" xfId="0" applyFont="1" applyFill="1"/>
    <xf numFmtId="0" fontId="3" fillId="7" borderId="0" xfId="0" applyFont="1" applyFill="1"/>
    <xf numFmtId="0" fontId="3" fillId="8" borderId="0" xfId="0" applyFont="1" applyFill="1"/>
    <xf numFmtId="0" fontId="3" fillId="9" borderId="0" xfId="0" applyFont="1" applyFill="1"/>
    <xf numFmtId="0" fontId="3" fillId="10" borderId="0" xfId="0" applyFont="1" applyFill="1"/>
    <xf numFmtId="0" fontId="3" fillId="11" borderId="0" xfId="0" applyFont="1" applyFill="1"/>
    <xf numFmtId="0" fontId="3" fillId="12" borderId="0" xfId="0" applyFont="1" applyFill="1"/>
    <xf numFmtId="0" fontId="3" fillId="13" borderId="0" xfId="0" applyFont="1" applyFill="1"/>
    <xf numFmtId="0" fontId="3" fillId="14" borderId="0" xfId="0" applyFont="1" applyFill="1"/>
    <xf numFmtId="0" fontId="3" fillId="15" borderId="0" xfId="0" applyFont="1" applyFill="1"/>
    <xf numFmtId="0" fontId="3" fillId="16" borderId="0" xfId="0" applyFont="1" applyFill="1"/>
    <xf numFmtId="0" fontId="3" fillId="17" borderId="0" xfId="0" applyFont="1" applyFill="1"/>
    <xf numFmtId="0" fontId="3" fillId="18" borderId="0" xfId="0" applyFont="1" applyFill="1"/>
    <xf numFmtId="0" fontId="3" fillId="19" borderId="0" xfId="0" applyFont="1" applyFill="1"/>
    <xf numFmtId="0" fontId="3" fillId="20" borderId="0" xfId="0" applyFont="1" applyFill="1"/>
    <xf numFmtId="0" fontId="3" fillId="21" borderId="0" xfId="0" applyFont="1" applyFill="1"/>
    <xf numFmtId="0" fontId="0" fillId="3" borderId="0" xfId="0" applyFill="1" applyAlignment="1">
      <alignment horizontal="right"/>
    </xf>
    <xf numFmtId="0" fontId="3" fillId="3" borderId="0" xfId="0" applyFont="1" applyFill="1"/>
    <xf numFmtId="0" fontId="6" fillId="0" borderId="6" xfId="0" applyFont="1" applyBorder="1" applyAlignment="1">
      <alignment horizontal="center"/>
    </xf>
    <xf numFmtId="0" fontId="0" fillId="3" borderId="0" xfId="0" applyFill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>
        <c:manualLayout>
          <c:layoutTarget val="inner"/>
          <c:xMode val="edge"/>
          <c:yMode val="edge"/>
          <c:x val="6.3784597176502894E-2"/>
          <c:y val="6.6983527511549804E-2"/>
          <c:w val="0.91103102026790517"/>
          <c:h val="0.65394140212111806"/>
        </c:manualLayout>
      </c:layout>
      <c:scatterChart>
        <c:scatterStyle val="lineMarker"/>
        <c:ser>
          <c:idx val="0"/>
          <c:order val="0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23.249999999999972</c:v>
              </c:pt>
              <c:pt idx="1">
                <c:v>57.749999999999993</c:v>
              </c:pt>
            </c:numLit>
          </c:xVal>
          <c:yVal>
            <c:numLit>
              <c:formatCode>General</c:formatCode>
              <c:ptCount val="2"/>
              <c:pt idx="0">
                <c:v>18.600000000000041</c:v>
              </c:pt>
              <c:pt idx="1">
                <c:v>18.600000000000041</c:v>
              </c:pt>
            </c:numLit>
          </c:yVal>
        </c:ser>
        <c:ser>
          <c:idx val="1"/>
          <c:order val="1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57.749999999999993</c:v>
              </c:pt>
              <c:pt idx="1">
                <c:v>92.25</c:v>
              </c:pt>
            </c:numLit>
          </c:xVal>
          <c:yVal>
            <c:numLit>
              <c:formatCode>General</c:formatCode>
              <c:ptCount val="2"/>
              <c:pt idx="0">
                <c:v>18.600000000000041</c:v>
              </c:pt>
              <c:pt idx="1">
                <c:v>18.600000000000041</c:v>
              </c:pt>
            </c:numLit>
          </c:yVal>
        </c:ser>
        <c:ser>
          <c:idx val="2"/>
          <c:order val="2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92.249999999999986</c:v>
              </c:pt>
              <c:pt idx="1">
                <c:v>126.74999999999999</c:v>
              </c:pt>
            </c:numLit>
          </c:xVal>
          <c:yVal>
            <c:numLit>
              <c:formatCode>General</c:formatCode>
              <c:ptCount val="2"/>
              <c:pt idx="0">
                <c:v>18.60000000000003</c:v>
              </c:pt>
              <c:pt idx="1">
                <c:v>18.60000000000003</c:v>
              </c:pt>
            </c:numLit>
          </c:yVal>
        </c:ser>
        <c:ser>
          <c:idx val="3"/>
          <c:order val="3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126.75</c:v>
              </c:pt>
              <c:pt idx="1">
                <c:v>161.24999999999989</c:v>
              </c:pt>
            </c:numLit>
          </c:xVal>
          <c:yVal>
            <c:numLit>
              <c:formatCode>General</c:formatCode>
              <c:ptCount val="2"/>
              <c:pt idx="0">
                <c:v>18.60000000000003</c:v>
              </c:pt>
              <c:pt idx="1">
                <c:v>18.60000000000003</c:v>
              </c:pt>
            </c:numLit>
          </c:yVal>
        </c:ser>
        <c:ser>
          <c:idx val="4"/>
          <c:order val="4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161.24999999999989</c:v>
              </c:pt>
              <c:pt idx="1">
                <c:v>195.74999999999989</c:v>
              </c:pt>
            </c:numLit>
          </c:xVal>
          <c:yVal>
            <c:numLit>
              <c:formatCode>General</c:formatCode>
              <c:ptCount val="2"/>
              <c:pt idx="0">
                <c:v>18.60000000000003</c:v>
              </c:pt>
              <c:pt idx="1">
                <c:v>18.60000000000003</c:v>
              </c:pt>
            </c:numLit>
          </c:yVal>
        </c:ser>
        <c:ser>
          <c:idx val="5"/>
          <c:order val="5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195.75000000000006</c:v>
              </c:pt>
              <c:pt idx="1">
                <c:v>230.25000000000006</c:v>
              </c:pt>
            </c:numLit>
          </c:xVal>
          <c:yVal>
            <c:numLit>
              <c:formatCode>General</c:formatCode>
              <c:ptCount val="2"/>
              <c:pt idx="0">
                <c:v>18.599999999999966</c:v>
              </c:pt>
              <c:pt idx="1">
                <c:v>18.599999999999966</c:v>
              </c:pt>
            </c:numLit>
          </c:yVal>
        </c:ser>
        <c:ser>
          <c:idx val="6"/>
          <c:order val="6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195.75000000000003</c:v>
              </c:pt>
              <c:pt idx="1">
                <c:v>230.25000000000003</c:v>
              </c:pt>
            </c:numLit>
          </c:xVal>
          <c:yVal>
            <c:numLit>
              <c:formatCode>General</c:formatCode>
              <c:ptCount val="2"/>
              <c:pt idx="0">
                <c:v>18.599999999999987</c:v>
              </c:pt>
              <c:pt idx="1">
                <c:v>18.599999999999987</c:v>
              </c:pt>
            </c:numLit>
          </c:yVal>
        </c:ser>
        <c:ser>
          <c:idx val="7"/>
          <c:order val="7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161.25000000000003</c:v>
              </c:pt>
              <c:pt idx="1">
                <c:v>195.75000000000003</c:v>
              </c:pt>
            </c:numLit>
          </c:xVal>
          <c:yVal>
            <c:numLit>
              <c:formatCode>General</c:formatCode>
              <c:ptCount val="2"/>
              <c:pt idx="0">
                <c:v>18.600000000000023</c:v>
              </c:pt>
              <c:pt idx="1">
                <c:v>18.600000000000023</c:v>
              </c:pt>
            </c:numLit>
          </c:yVal>
        </c:ser>
        <c:ser>
          <c:idx val="8"/>
          <c:order val="8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126.75000000000003</c:v>
              </c:pt>
              <c:pt idx="1">
                <c:v>161.25000000000003</c:v>
              </c:pt>
            </c:numLit>
          </c:xVal>
          <c:yVal>
            <c:numLit>
              <c:formatCode>General</c:formatCode>
              <c:ptCount val="2"/>
              <c:pt idx="0">
                <c:v>18.600000000000023</c:v>
              </c:pt>
              <c:pt idx="1">
                <c:v>18.600000000000023</c:v>
              </c:pt>
            </c:numLit>
          </c:yVal>
        </c:ser>
        <c:ser>
          <c:idx val="9"/>
          <c:order val="9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92.250000000000014</c:v>
              </c:pt>
              <c:pt idx="1">
                <c:v>126.75000000000001</c:v>
              </c:pt>
            </c:numLit>
          </c:xVal>
          <c:yVal>
            <c:numLit>
              <c:formatCode>General</c:formatCode>
              <c:ptCount val="2"/>
              <c:pt idx="0">
                <c:v>18.600000000000023</c:v>
              </c:pt>
              <c:pt idx="1">
                <c:v>18.600000000000023</c:v>
              </c:pt>
            </c:numLit>
          </c:yVal>
        </c:ser>
        <c:ser>
          <c:idx val="10"/>
          <c:order val="10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57.750000000000028</c:v>
              </c:pt>
              <c:pt idx="1">
                <c:v>92.250000000000028</c:v>
              </c:pt>
            </c:numLit>
          </c:xVal>
          <c:yVal>
            <c:numLit>
              <c:formatCode>General</c:formatCode>
              <c:ptCount val="2"/>
              <c:pt idx="0">
                <c:v>18.60000000000003</c:v>
              </c:pt>
              <c:pt idx="1">
                <c:v>18.60000000000003</c:v>
              </c:pt>
            </c:numLit>
          </c:yVal>
        </c:ser>
        <c:ser>
          <c:idx val="11"/>
          <c:order val="11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23.250000000000032</c:v>
              </c:pt>
              <c:pt idx="1">
                <c:v>57.750000000000028</c:v>
              </c:pt>
            </c:numLit>
          </c:xVal>
          <c:yVal>
            <c:numLit>
              <c:formatCode>General</c:formatCode>
              <c:ptCount val="2"/>
              <c:pt idx="0">
                <c:v>18.60000000000003</c:v>
              </c:pt>
              <c:pt idx="1">
                <c:v>18.60000000000003</c:v>
              </c:pt>
            </c:numLit>
          </c:yVal>
        </c:ser>
        <c:ser>
          <c:idx val="12"/>
          <c:order val="12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230.25000000000026</c:v>
              </c:pt>
              <c:pt idx="1">
                <c:v>230.25000000000034</c:v>
              </c:pt>
            </c:numLit>
          </c:xVal>
          <c:yVal>
            <c:numLit>
              <c:formatCode>General</c:formatCode>
              <c:ptCount val="2"/>
              <c:pt idx="0">
                <c:v>29.787500000000012</c:v>
              </c:pt>
              <c:pt idx="1">
                <c:v>25.592187500000186</c:v>
              </c:pt>
            </c:numLit>
          </c:yVal>
        </c:ser>
        <c:ser>
          <c:idx val="13"/>
          <c:order val="13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230.2499999999998</c:v>
              </c:pt>
              <c:pt idx="1">
                <c:v>221.62500000000028</c:v>
              </c:pt>
            </c:numLit>
          </c:xVal>
          <c:yVal>
            <c:numLit>
              <c:formatCode>General</c:formatCode>
              <c:ptCount val="2"/>
              <c:pt idx="0">
                <c:v>25.59218750000025</c:v>
              </c:pt>
              <c:pt idx="1">
                <c:v>29.787500000000151</c:v>
              </c:pt>
            </c:numLit>
          </c:yVal>
        </c:ser>
        <c:ser>
          <c:idx val="14"/>
          <c:order val="14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238.87500000000028</c:v>
              </c:pt>
              <c:pt idx="1">
                <c:v>230.2499999999998</c:v>
              </c:pt>
            </c:numLit>
          </c:xVal>
          <c:yVal>
            <c:numLit>
              <c:formatCode>General</c:formatCode>
              <c:ptCount val="2"/>
              <c:pt idx="0">
                <c:v>29.787500000000151</c:v>
              </c:pt>
              <c:pt idx="1">
                <c:v>25.59218750000025</c:v>
              </c:pt>
            </c:numLit>
          </c:yVal>
        </c:ser>
        <c:ser>
          <c:idx val="15"/>
          <c:order val="15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230.25000000000034</c:v>
              </c:pt>
              <c:pt idx="1">
                <c:v>221.62500000000026</c:v>
              </c:pt>
            </c:numLit>
          </c:xVal>
          <c:yVal>
            <c:numLit>
              <c:formatCode>General</c:formatCode>
              <c:ptCount val="2"/>
              <c:pt idx="0">
                <c:v>25.592187500000186</c:v>
              </c:pt>
              <c:pt idx="1">
                <c:v>24.193750000000023</c:v>
              </c:pt>
            </c:numLit>
          </c:yVal>
        </c:ser>
        <c:ser>
          <c:idx val="16"/>
          <c:order val="16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238.87500000000026</c:v>
              </c:pt>
              <c:pt idx="1">
                <c:v>230.25000000000034</c:v>
              </c:pt>
            </c:numLit>
          </c:xVal>
          <c:yVal>
            <c:numLit>
              <c:formatCode>General</c:formatCode>
              <c:ptCount val="2"/>
              <c:pt idx="0">
                <c:v>24.193749999999024</c:v>
              </c:pt>
              <c:pt idx="1">
                <c:v>25.592187500000186</c:v>
              </c:pt>
            </c:numLit>
          </c:yVal>
        </c:ser>
        <c:ser>
          <c:idx val="17"/>
          <c:order val="17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213.00000000000026</c:v>
              </c:pt>
              <c:pt idx="1">
                <c:v>213.00000000000034</c:v>
              </c:pt>
            </c:numLit>
          </c:xVal>
          <c:yVal>
            <c:numLit>
              <c:formatCode>General</c:formatCode>
              <c:ptCount val="2"/>
              <c:pt idx="0">
                <c:v>29.787500000000012</c:v>
              </c:pt>
              <c:pt idx="1">
                <c:v>25.592187500000186</c:v>
              </c:pt>
            </c:numLit>
          </c:yVal>
        </c:ser>
        <c:ser>
          <c:idx val="18"/>
          <c:order val="18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212.99999999999989</c:v>
              </c:pt>
              <c:pt idx="1">
                <c:v>204.37500000000028</c:v>
              </c:pt>
            </c:numLit>
          </c:xVal>
          <c:yVal>
            <c:numLit>
              <c:formatCode>General</c:formatCode>
              <c:ptCount val="2"/>
              <c:pt idx="0">
                <c:v>25.59218750000025</c:v>
              </c:pt>
              <c:pt idx="1">
                <c:v>29.787500000000151</c:v>
              </c:pt>
            </c:numLit>
          </c:yVal>
        </c:ser>
        <c:ser>
          <c:idx val="19"/>
          <c:order val="19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221.62500000000028</c:v>
              </c:pt>
              <c:pt idx="1">
                <c:v>212.99999999999989</c:v>
              </c:pt>
            </c:numLit>
          </c:xVal>
          <c:yVal>
            <c:numLit>
              <c:formatCode>General</c:formatCode>
              <c:ptCount val="2"/>
              <c:pt idx="0">
                <c:v>29.787500000000151</c:v>
              </c:pt>
              <c:pt idx="1">
                <c:v>25.59218750000025</c:v>
              </c:pt>
            </c:numLit>
          </c:yVal>
        </c:ser>
        <c:ser>
          <c:idx val="20"/>
          <c:order val="20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213.00000000000034</c:v>
              </c:pt>
              <c:pt idx="1">
                <c:v>204.37500000000026</c:v>
              </c:pt>
            </c:numLit>
          </c:xVal>
          <c:yVal>
            <c:numLit>
              <c:formatCode>General</c:formatCode>
              <c:ptCount val="2"/>
              <c:pt idx="0">
                <c:v>25.592187500000186</c:v>
              </c:pt>
              <c:pt idx="1">
                <c:v>24.193750000000023</c:v>
              </c:pt>
            </c:numLit>
          </c:yVal>
        </c:ser>
        <c:ser>
          <c:idx val="21"/>
          <c:order val="21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221.62500000000026</c:v>
              </c:pt>
              <c:pt idx="1">
                <c:v>213.00000000000034</c:v>
              </c:pt>
            </c:numLit>
          </c:xVal>
          <c:yVal>
            <c:numLit>
              <c:formatCode>General</c:formatCode>
              <c:ptCount val="2"/>
              <c:pt idx="0">
                <c:v>24.193749999999024</c:v>
              </c:pt>
              <c:pt idx="1">
                <c:v>25.592187500000186</c:v>
              </c:pt>
            </c:numLit>
          </c:yVal>
        </c:ser>
        <c:ser>
          <c:idx val="22"/>
          <c:order val="22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195.75000000000026</c:v>
              </c:pt>
              <c:pt idx="1">
                <c:v>195.75000000000034</c:v>
              </c:pt>
            </c:numLit>
          </c:xVal>
          <c:yVal>
            <c:numLit>
              <c:formatCode>General</c:formatCode>
              <c:ptCount val="2"/>
              <c:pt idx="0">
                <c:v>29.787500000000151</c:v>
              </c:pt>
              <c:pt idx="1">
                <c:v>25.592187500000321</c:v>
              </c:pt>
            </c:numLit>
          </c:yVal>
        </c:ser>
        <c:ser>
          <c:idx val="23"/>
          <c:order val="23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195.7499999999998</c:v>
              </c:pt>
              <c:pt idx="1">
                <c:v>187.12500000000028</c:v>
              </c:pt>
            </c:numLit>
          </c:xVal>
          <c:yVal>
            <c:numLit>
              <c:formatCode>General</c:formatCode>
              <c:ptCount val="2"/>
              <c:pt idx="0">
                <c:v>25.59218750000041</c:v>
              </c:pt>
              <c:pt idx="1">
                <c:v>29.7875000000003</c:v>
              </c:pt>
            </c:numLit>
          </c:yVal>
        </c:ser>
        <c:ser>
          <c:idx val="24"/>
          <c:order val="24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204.37500000000028</c:v>
              </c:pt>
              <c:pt idx="1">
                <c:v>195.7499999999998</c:v>
              </c:pt>
            </c:numLit>
          </c:xVal>
          <c:yVal>
            <c:numLit>
              <c:formatCode>General</c:formatCode>
              <c:ptCount val="2"/>
              <c:pt idx="0">
                <c:v>29.7875000000003</c:v>
              </c:pt>
              <c:pt idx="1">
                <c:v>25.59218750000041</c:v>
              </c:pt>
            </c:numLit>
          </c:yVal>
        </c:ser>
        <c:ser>
          <c:idx val="25"/>
          <c:order val="25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195.75000000000034</c:v>
              </c:pt>
              <c:pt idx="1">
                <c:v>187.12500000000026</c:v>
              </c:pt>
            </c:numLit>
          </c:xVal>
          <c:yVal>
            <c:numLit>
              <c:formatCode>General</c:formatCode>
              <c:ptCount val="2"/>
              <c:pt idx="0">
                <c:v>25.592187500000321</c:v>
              </c:pt>
              <c:pt idx="1">
                <c:v>24.193750000000161</c:v>
              </c:pt>
            </c:numLit>
          </c:yVal>
        </c:ser>
        <c:ser>
          <c:idx val="26"/>
          <c:order val="26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204.37500000000026</c:v>
              </c:pt>
              <c:pt idx="1">
                <c:v>195.75000000000034</c:v>
              </c:pt>
            </c:numLit>
          </c:xVal>
          <c:yVal>
            <c:numLit>
              <c:formatCode>General</c:formatCode>
              <c:ptCount val="2"/>
              <c:pt idx="0">
                <c:v>24.193749999999177</c:v>
              </c:pt>
              <c:pt idx="1">
                <c:v>25.592187500000321</c:v>
              </c:pt>
            </c:numLit>
          </c:yVal>
        </c:ser>
        <c:ser>
          <c:idx val="27"/>
          <c:order val="27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23.250000000000227</c:v>
              </c:pt>
              <c:pt idx="1">
                <c:v>23.250000000000313</c:v>
              </c:pt>
            </c:numLit>
          </c:xVal>
          <c:yVal>
            <c:numLit>
              <c:formatCode>General</c:formatCode>
              <c:ptCount val="2"/>
              <c:pt idx="0">
                <c:v>29.787500000000186</c:v>
              </c:pt>
              <c:pt idx="1">
                <c:v>25.592187500000353</c:v>
              </c:pt>
            </c:numLit>
          </c:yVal>
        </c:ser>
        <c:ser>
          <c:idx val="28"/>
          <c:order val="28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23.249999999999847</c:v>
              </c:pt>
              <c:pt idx="1">
                <c:v>14.625000000000259</c:v>
              </c:pt>
            </c:numLit>
          </c:xVal>
          <c:yVal>
            <c:numLit>
              <c:formatCode>General</c:formatCode>
              <c:ptCount val="2"/>
              <c:pt idx="0">
                <c:v>25.592187500000428</c:v>
              </c:pt>
              <c:pt idx="1">
                <c:v>29.787500000000325</c:v>
              </c:pt>
            </c:numLit>
          </c:yVal>
        </c:ser>
        <c:ser>
          <c:idx val="29"/>
          <c:order val="29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31.875000000000256</c:v>
              </c:pt>
              <c:pt idx="1">
                <c:v>23.249999999999847</c:v>
              </c:pt>
            </c:numLit>
          </c:xVal>
          <c:yVal>
            <c:numLit>
              <c:formatCode>General</c:formatCode>
              <c:ptCount val="2"/>
              <c:pt idx="0">
                <c:v>29.787500000000325</c:v>
              </c:pt>
              <c:pt idx="1">
                <c:v>25.592187500000428</c:v>
              </c:pt>
            </c:numLit>
          </c:yVal>
        </c:ser>
        <c:ser>
          <c:idx val="30"/>
          <c:order val="30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23.250000000000313</c:v>
              </c:pt>
              <c:pt idx="1">
                <c:v>14.625000000000229</c:v>
              </c:pt>
            </c:numLit>
          </c:xVal>
          <c:yVal>
            <c:numLit>
              <c:formatCode>General</c:formatCode>
              <c:ptCount val="2"/>
              <c:pt idx="0">
                <c:v>25.592187500000353</c:v>
              </c:pt>
              <c:pt idx="1">
                <c:v>24.19375000000019</c:v>
              </c:pt>
            </c:numLit>
          </c:yVal>
        </c:ser>
        <c:ser>
          <c:idx val="31"/>
          <c:order val="31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31.875000000000227</c:v>
              </c:pt>
              <c:pt idx="1">
                <c:v>23.250000000000313</c:v>
              </c:pt>
            </c:numLit>
          </c:xVal>
          <c:yVal>
            <c:numLit>
              <c:formatCode>General</c:formatCode>
              <c:ptCount val="2"/>
              <c:pt idx="0">
                <c:v>24.193749999999206</c:v>
              </c:pt>
              <c:pt idx="1">
                <c:v>25.592187500000353</c:v>
              </c:pt>
            </c:numLit>
          </c:yVal>
        </c:ser>
        <c:ser>
          <c:idx val="32"/>
          <c:order val="32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40.500000000000234</c:v>
              </c:pt>
              <c:pt idx="1">
                <c:v>40.500000000000306</c:v>
              </c:pt>
            </c:numLit>
          </c:xVal>
          <c:yVal>
            <c:numLit>
              <c:formatCode>General</c:formatCode>
              <c:ptCount val="2"/>
              <c:pt idx="0">
                <c:v>29.787500000002129</c:v>
              </c:pt>
              <c:pt idx="1">
                <c:v>25.592187500002304</c:v>
              </c:pt>
            </c:numLit>
          </c:yVal>
        </c:ser>
        <c:ser>
          <c:idx val="33"/>
          <c:order val="33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40.499999999999879</c:v>
              </c:pt>
              <c:pt idx="1">
                <c:v>31.875000000000256</c:v>
              </c:pt>
            </c:numLit>
          </c:xVal>
          <c:yVal>
            <c:numLit>
              <c:formatCode>General</c:formatCode>
              <c:ptCount val="2"/>
              <c:pt idx="0">
                <c:v>25.592187500002389</c:v>
              </c:pt>
              <c:pt idx="1">
                <c:v>29.787500000002289</c:v>
              </c:pt>
            </c:numLit>
          </c:yVal>
        </c:ser>
        <c:ser>
          <c:idx val="34"/>
          <c:order val="34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49.125000000000263</c:v>
              </c:pt>
              <c:pt idx="1">
                <c:v>40.499999999999879</c:v>
              </c:pt>
            </c:numLit>
          </c:xVal>
          <c:yVal>
            <c:numLit>
              <c:formatCode>General</c:formatCode>
              <c:ptCount val="2"/>
              <c:pt idx="0">
                <c:v>29.787500000002289</c:v>
              </c:pt>
              <c:pt idx="1">
                <c:v>25.592187500002389</c:v>
              </c:pt>
            </c:numLit>
          </c:yVal>
        </c:ser>
        <c:ser>
          <c:idx val="35"/>
          <c:order val="35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40.500000000000306</c:v>
              </c:pt>
              <c:pt idx="1">
                <c:v>31.875000000000227</c:v>
              </c:pt>
            </c:numLit>
          </c:xVal>
          <c:yVal>
            <c:numLit>
              <c:formatCode>General</c:formatCode>
              <c:ptCount val="2"/>
              <c:pt idx="0">
                <c:v>25.592187500002304</c:v>
              </c:pt>
              <c:pt idx="1">
                <c:v>24.19375000000214</c:v>
              </c:pt>
            </c:numLit>
          </c:yVal>
        </c:ser>
        <c:ser>
          <c:idx val="36"/>
          <c:order val="36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49.125000000000256</c:v>
              </c:pt>
              <c:pt idx="1">
                <c:v>40.500000000000306</c:v>
              </c:pt>
            </c:numLit>
          </c:xVal>
          <c:yVal>
            <c:numLit>
              <c:formatCode>General</c:formatCode>
              <c:ptCount val="2"/>
              <c:pt idx="0">
                <c:v>24.193750000001167</c:v>
              </c:pt>
              <c:pt idx="1">
                <c:v>25.592187500002304</c:v>
              </c:pt>
            </c:numLit>
          </c:yVal>
        </c:ser>
        <c:ser>
          <c:idx val="37"/>
          <c:order val="37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57.750000000000576</c:v>
              </c:pt>
              <c:pt idx="1">
                <c:v>57.750000000000654</c:v>
              </c:pt>
            </c:numLit>
          </c:xVal>
          <c:yVal>
            <c:numLit>
              <c:formatCode>General</c:formatCode>
              <c:ptCount val="2"/>
              <c:pt idx="0">
                <c:v>29.787500000001664</c:v>
              </c:pt>
              <c:pt idx="1">
                <c:v>25.592187500001831</c:v>
              </c:pt>
            </c:numLit>
          </c:yVal>
        </c:ser>
        <c:ser>
          <c:idx val="38"/>
          <c:order val="38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57.750000000000199</c:v>
              </c:pt>
              <c:pt idx="1">
                <c:v>49.125000000000611</c:v>
              </c:pt>
            </c:numLit>
          </c:xVal>
          <c:yVal>
            <c:numLit>
              <c:formatCode>General</c:formatCode>
              <c:ptCount val="2"/>
              <c:pt idx="0">
                <c:v>25.592187500001913</c:v>
              </c:pt>
              <c:pt idx="1">
                <c:v>29.787500000001813</c:v>
              </c:pt>
            </c:numLit>
          </c:yVal>
        </c:ser>
        <c:ser>
          <c:idx val="39"/>
          <c:order val="39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66.37500000000054</c:v>
              </c:pt>
              <c:pt idx="1">
                <c:v>57.750000000000199</c:v>
              </c:pt>
            </c:numLit>
          </c:xVal>
          <c:yVal>
            <c:numLit>
              <c:formatCode>General</c:formatCode>
              <c:ptCount val="2"/>
              <c:pt idx="0">
                <c:v>29.787500000001813</c:v>
              </c:pt>
              <c:pt idx="1">
                <c:v>25.592187500001913</c:v>
              </c:pt>
            </c:numLit>
          </c:yVal>
        </c:ser>
        <c:ser>
          <c:idx val="40"/>
          <c:order val="40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57.750000000000654</c:v>
              </c:pt>
              <c:pt idx="1">
                <c:v>49.125000000000583</c:v>
              </c:pt>
            </c:numLit>
          </c:xVal>
          <c:yVal>
            <c:numLit>
              <c:formatCode>General</c:formatCode>
              <c:ptCount val="2"/>
              <c:pt idx="0">
                <c:v>25.592187500001831</c:v>
              </c:pt>
              <c:pt idx="1">
                <c:v>24.193750000001675</c:v>
              </c:pt>
            </c:numLit>
          </c:yVal>
        </c:ser>
        <c:ser>
          <c:idx val="41"/>
          <c:order val="41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66.375000000000526</c:v>
              </c:pt>
              <c:pt idx="1">
                <c:v>57.750000000000654</c:v>
              </c:pt>
            </c:numLit>
          </c:xVal>
          <c:yVal>
            <c:numLit>
              <c:formatCode>General</c:formatCode>
              <c:ptCount val="2"/>
              <c:pt idx="0">
                <c:v>24.193750000000701</c:v>
              </c:pt>
              <c:pt idx="1">
                <c:v>25.592187500001831</c:v>
              </c:pt>
            </c:numLit>
          </c:yVal>
        </c:ser>
        <c:ser>
          <c:idx val="42"/>
          <c:order val="42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75.000000000000256</c:v>
              </c:pt>
              <c:pt idx="1">
                <c:v>75.000000000000341</c:v>
              </c:pt>
            </c:numLit>
          </c:xVal>
          <c:yVal>
            <c:numLit>
              <c:formatCode>General</c:formatCode>
              <c:ptCount val="2"/>
              <c:pt idx="0">
                <c:v>29.787500000001526</c:v>
              </c:pt>
              <c:pt idx="1">
                <c:v>25.592187500001689</c:v>
              </c:pt>
            </c:numLit>
          </c:yVal>
        </c:ser>
        <c:ser>
          <c:idx val="43"/>
          <c:order val="43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74.999999999999929</c:v>
              </c:pt>
              <c:pt idx="1">
                <c:v>66.375000000000242</c:v>
              </c:pt>
            </c:numLit>
          </c:xVal>
          <c:yVal>
            <c:numLit>
              <c:formatCode>General</c:formatCode>
              <c:ptCount val="2"/>
              <c:pt idx="0">
                <c:v>25.592187500001764</c:v>
              </c:pt>
              <c:pt idx="1">
                <c:v>29.787500000001664</c:v>
              </c:pt>
            </c:numLit>
          </c:yVal>
        </c:ser>
        <c:ser>
          <c:idx val="44"/>
          <c:order val="44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83.625000000000242</c:v>
              </c:pt>
              <c:pt idx="1">
                <c:v>74.999999999999929</c:v>
              </c:pt>
            </c:numLit>
          </c:xVal>
          <c:yVal>
            <c:numLit>
              <c:formatCode>General</c:formatCode>
              <c:ptCount val="2"/>
              <c:pt idx="0">
                <c:v>29.787500000001664</c:v>
              </c:pt>
              <c:pt idx="1">
                <c:v>25.592187500001764</c:v>
              </c:pt>
            </c:numLit>
          </c:yVal>
        </c:ser>
        <c:ser>
          <c:idx val="45"/>
          <c:order val="45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75.000000000000341</c:v>
              </c:pt>
              <c:pt idx="1">
                <c:v>66.375000000000199</c:v>
              </c:pt>
            </c:numLit>
          </c:xVal>
          <c:yVal>
            <c:numLit>
              <c:formatCode>General</c:formatCode>
              <c:ptCount val="2"/>
              <c:pt idx="0">
                <c:v>25.592187500001689</c:v>
              </c:pt>
              <c:pt idx="1">
                <c:v>24.193750000001533</c:v>
              </c:pt>
            </c:numLit>
          </c:yVal>
        </c:ser>
        <c:ser>
          <c:idx val="46"/>
          <c:order val="46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83.625000000000199</c:v>
              </c:pt>
              <c:pt idx="1">
                <c:v>75.000000000000341</c:v>
              </c:pt>
            </c:numLit>
          </c:xVal>
          <c:yVal>
            <c:numLit>
              <c:formatCode>General</c:formatCode>
              <c:ptCount val="2"/>
              <c:pt idx="0">
                <c:v>24.193750000000563</c:v>
              </c:pt>
              <c:pt idx="1">
                <c:v>25.592187500001689</c:v>
              </c:pt>
            </c:numLit>
          </c:yVal>
        </c:ser>
        <c:ser>
          <c:idx val="47"/>
          <c:order val="47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92.250000000000213</c:v>
              </c:pt>
              <c:pt idx="1">
                <c:v>92.250000000000313</c:v>
              </c:pt>
            </c:numLit>
          </c:xVal>
          <c:yVal>
            <c:numLit>
              <c:formatCode>General</c:formatCode>
              <c:ptCount val="2"/>
              <c:pt idx="0">
                <c:v>29.78750000000122</c:v>
              </c:pt>
              <c:pt idx="1">
                <c:v>25.592187500001412</c:v>
              </c:pt>
            </c:numLit>
          </c:yVal>
        </c:ser>
        <c:ser>
          <c:idx val="48"/>
          <c:order val="48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92.249999999999915</c:v>
              </c:pt>
              <c:pt idx="1">
                <c:v>83.625000000000199</c:v>
              </c:pt>
            </c:numLit>
          </c:xVal>
          <c:yVal>
            <c:numLit>
              <c:formatCode>General</c:formatCode>
              <c:ptCount val="2"/>
              <c:pt idx="0">
                <c:v>25.592187500001486</c:v>
              </c:pt>
              <c:pt idx="1">
                <c:v>29.787500000001376</c:v>
              </c:pt>
            </c:numLit>
          </c:yVal>
        </c:ser>
        <c:ser>
          <c:idx val="49"/>
          <c:order val="49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100.87500000000021</c:v>
              </c:pt>
              <c:pt idx="1">
                <c:v>92.249999999999915</c:v>
              </c:pt>
            </c:numLit>
          </c:xVal>
          <c:yVal>
            <c:numLit>
              <c:formatCode>General</c:formatCode>
              <c:ptCount val="2"/>
              <c:pt idx="0">
                <c:v>29.787500000001376</c:v>
              </c:pt>
              <c:pt idx="1">
                <c:v>25.592187500001486</c:v>
              </c:pt>
            </c:numLit>
          </c:yVal>
        </c:ser>
        <c:ser>
          <c:idx val="50"/>
          <c:order val="50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92.250000000000313</c:v>
              </c:pt>
              <c:pt idx="1">
                <c:v>83.625000000000171</c:v>
              </c:pt>
            </c:numLit>
          </c:xVal>
          <c:yVal>
            <c:numLit>
              <c:formatCode>General</c:formatCode>
              <c:ptCount val="2"/>
              <c:pt idx="0">
                <c:v>25.592187500001412</c:v>
              </c:pt>
              <c:pt idx="1">
                <c:v>24.193750000001227</c:v>
              </c:pt>
            </c:numLit>
          </c:yVal>
        </c:ser>
        <c:ser>
          <c:idx val="51"/>
          <c:order val="51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100.87500000000018</c:v>
              </c:pt>
              <c:pt idx="1">
                <c:v>92.250000000000313</c:v>
              </c:pt>
            </c:numLit>
          </c:xVal>
          <c:yVal>
            <c:numLit>
              <c:formatCode>General</c:formatCode>
              <c:ptCount val="2"/>
              <c:pt idx="0">
                <c:v>24.193750000000264</c:v>
              </c:pt>
              <c:pt idx="1">
                <c:v>25.592187500001412</c:v>
              </c:pt>
            </c:numLit>
          </c:yVal>
        </c:ser>
        <c:ser>
          <c:idx val="52"/>
          <c:order val="52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109.50000000000057</c:v>
              </c:pt>
              <c:pt idx="1">
                <c:v>109.50000000000065</c:v>
              </c:pt>
            </c:numLit>
          </c:xVal>
          <c:yVal>
            <c:numLit>
              <c:formatCode>General</c:formatCode>
              <c:ptCount val="2"/>
              <c:pt idx="0">
                <c:v>29.787500000000769</c:v>
              </c:pt>
              <c:pt idx="1">
                <c:v>25.592187500000932</c:v>
              </c:pt>
            </c:numLit>
          </c:yVal>
        </c:ser>
        <c:ser>
          <c:idx val="53"/>
          <c:order val="53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109.5000000000002</c:v>
              </c:pt>
              <c:pt idx="1">
                <c:v>100.87500000000055</c:v>
              </c:pt>
            </c:numLit>
          </c:xVal>
          <c:yVal>
            <c:numLit>
              <c:formatCode>General</c:formatCode>
              <c:ptCount val="2"/>
              <c:pt idx="0">
                <c:v>25.592187500001007</c:v>
              </c:pt>
              <c:pt idx="1">
                <c:v>29.787500000000907</c:v>
              </c:pt>
            </c:numLit>
          </c:yVal>
        </c:ser>
        <c:ser>
          <c:idx val="54"/>
          <c:order val="54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118.12500000000055</c:v>
              </c:pt>
              <c:pt idx="1">
                <c:v>109.5000000000002</c:v>
              </c:pt>
            </c:numLit>
          </c:xVal>
          <c:yVal>
            <c:numLit>
              <c:formatCode>General</c:formatCode>
              <c:ptCount val="2"/>
              <c:pt idx="0">
                <c:v>29.787500000000907</c:v>
              </c:pt>
              <c:pt idx="1">
                <c:v>25.592187500001007</c:v>
              </c:pt>
            </c:numLit>
          </c:yVal>
        </c:ser>
        <c:ser>
          <c:idx val="55"/>
          <c:order val="55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109.50000000000065</c:v>
              </c:pt>
              <c:pt idx="1">
                <c:v>100.87500000000053</c:v>
              </c:pt>
            </c:numLit>
          </c:xVal>
          <c:yVal>
            <c:numLit>
              <c:formatCode>General</c:formatCode>
              <c:ptCount val="2"/>
              <c:pt idx="0">
                <c:v>25.592187500000932</c:v>
              </c:pt>
              <c:pt idx="1">
                <c:v>24.193750000000779</c:v>
              </c:pt>
            </c:numLit>
          </c:yVal>
        </c:ser>
        <c:ser>
          <c:idx val="56"/>
          <c:order val="56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118.12500000000053</c:v>
              </c:pt>
              <c:pt idx="1">
                <c:v>109.50000000000065</c:v>
              </c:pt>
            </c:numLit>
          </c:xVal>
          <c:yVal>
            <c:numLit>
              <c:formatCode>General</c:formatCode>
              <c:ptCount val="2"/>
              <c:pt idx="0">
                <c:v>24.193749999999781</c:v>
              </c:pt>
              <c:pt idx="1">
                <c:v>25.592187500000932</c:v>
              </c:pt>
            </c:numLit>
          </c:yVal>
        </c:ser>
        <c:ser>
          <c:idx val="57"/>
          <c:order val="57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126.75000000000026</c:v>
              </c:pt>
              <c:pt idx="1">
                <c:v>126.75000000000034</c:v>
              </c:pt>
            </c:numLit>
          </c:xVal>
          <c:yVal>
            <c:numLit>
              <c:formatCode>General</c:formatCode>
              <c:ptCount val="2"/>
              <c:pt idx="0">
                <c:v>29.78750000000062</c:v>
              </c:pt>
              <c:pt idx="1">
                <c:v>25.592187500000787</c:v>
              </c:pt>
            </c:numLit>
          </c:yVal>
        </c:ser>
        <c:ser>
          <c:idx val="58"/>
          <c:order val="58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126.74999999999993</c:v>
              </c:pt>
              <c:pt idx="1">
                <c:v>118.12500000000024</c:v>
              </c:pt>
            </c:numLit>
          </c:xVal>
          <c:yVal>
            <c:numLit>
              <c:formatCode>General</c:formatCode>
              <c:ptCount val="2"/>
              <c:pt idx="0">
                <c:v>25.592187500000858</c:v>
              </c:pt>
              <c:pt idx="1">
                <c:v>29.787500000000769</c:v>
              </c:pt>
            </c:numLit>
          </c:yVal>
        </c:ser>
        <c:ser>
          <c:idx val="59"/>
          <c:order val="59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135.37500000000028</c:v>
              </c:pt>
              <c:pt idx="1">
                <c:v>126.74999999999993</c:v>
              </c:pt>
            </c:numLit>
          </c:xVal>
          <c:yVal>
            <c:numLit>
              <c:formatCode>General</c:formatCode>
              <c:ptCount val="2"/>
              <c:pt idx="0">
                <c:v>29.787500000000769</c:v>
              </c:pt>
              <c:pt idx="1">
                <c:v>25.592187500000858</c:v>
              </c:pt>
            </c:numLit>
          </c:yVal>
        </c:ser>
        <c:ser>
          <c:idx val="60"/>
          <c:order val="60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126.75000000000034</c:v>
              </c:pt>
              <c:pt idx="1">
                <c:v>118.12500000000021</c:v>
              </c:pt>
            </c:numLit>
          </c:xVal>
          <c:yVal>
            <c:numLit>
              <c:formatCode>General</c:formatCode>
              <c:ptCount val="2"/>
              <c:pt idx="0">
                <c:v>25.592187500000787</c:v>
              </c:pt>
              <c:pt idx="1">
                <c:v>24.19375000000063</c:v>
              </c:pt>
            </c:numLit>
          </c:yVal>
        </c:ser>
        <c:ser>
          <c:idx val="61"/>
          <c:order val="61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135.37500000000026</c:v>
              </c:pt>
              <c:pt idx="1">
                <c:v>126.75000000000034</c:v>
              </c:pt>
            </c:numLit>
          </c:xVal>
          <c:yVal>
            <c:numLit>
              <c:formatCode>General</c:formatCode>
              <c:ptCount val="2"/>
              <c:pt idx="0">
                <c:v>24.193749999999635</c:v>
              </c:pt>
              <c:pt idx="1">
                <c:v>25.592187500000787</c:v>
              </c:pt>
            </c:numLit>
          </c:yVal>
        </c:ser>
        <c:ser>
          <c:idx val="62"/>
          <c:order val="62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144.00000000000057</c:v>
              </c:pt>
              <c:pt idx="1">
                <c:v>144.00000000000065</c:v>
              </c:pt>
            </c:numLit>
          </c:xVal>
          <c:yVal>
            <c:numLit>
              <c:formatCode>General</c:formatCode>
              <c:ptCount val="2"/>
              <c:pt idx="0">
                <c:v>29.787500000000154</c:v>
              </c:pt>
              <c:pt idx="1">
                <c:v>25.592187500000325</c:v>
              </c:pt>
            </c:numLit>
          </c:yVal>
        </c:ser>
        <c:ser>
          <c:idx val="63"/>
          <c:order val="63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144.0000000000002</c:v>
              </c:pt>
              <c:pt idx="1">
                <c:v>135.3750000000006</c:v>
              </c:pt>
            </c:numLit>
          </c:xVal>
          <c:yVal>
            <c:numLit>
              <c:formatCode>General</c:formatCode>
              <c:ptCount val="2"/>
              <c:pt idx="0">
                <c:v>25.592187500000414</c:v>
              </c:pt>
              <c:pt idx="1">
                <c:v>29.787500000000303</c:v>
              </c:pt>
            </c:numLit>
          </c:yVal>
        </c:ser>
        <c:ser>
          <c:idx val="64"/>
          <c:order val="64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152.6250000000006</c:v>
              </c:pt>
              <c:pt idx="1">
                <c:v>144.0000000000002</c:v>
              </c:pt>
            </c:numLit>
          </c:xVal>
          <c:yVal>
            <c:numLit>
              <c:formatCode>General</c:formatCode>
              <c:ptCount val="2"/>
              <c:pt idx="0">
                <c:v>29.787500000000303</c:v>
              </c:pt>
              <c:pt idx="1">
                <c:v>25.592187500000414</c:v>
              </c:pt>
            </c:numLit>
          </c:yVal>
        </c:ser>
        <c:ser>
          <c:idx val="65"/>
          <c:order val="65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144.00000000000065</c:v>
              </c:pt>
              <c:pt idx="1">
                <c:v>135.37500000000057</c:v>
              </c:pt>
            </c:numLit>
          </c:xVal>
          <c:yVal>
            <c:numLit>
              <c:formatCode>General</c:formatCode>
              <c:ptCount val="2"/>
              <c:pt idx="0">
                <c:v>25.592187500000325</c:v>
              </c:pt>
              <c:pt idx="1">
                <c:v>24.193750000000165</c:v>
              </c:pt>
            </c:numLit>
          </c:yVal>
        </c:ser>
        <c:ser>
          <c:idx val="66"/>
          <c:order val="66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152.62500000000057</c:v>
              </c:pt>
              <c:pt idx="1">
                <c:v>144.00000000000065</c:v>
              </c:pt>
            </c:numLit>
          </c:xVal>
          <c:yVal>
            <c:numLit>
              <c:formatCode>General</c:formatCode>
              <c:ptCount val="2"/>
              <c:pt idx="0">
                <c:v>24.193749999999177</c:v>
              </c:pt>
              <c:pt idx="1">
                <c:v>25.592187500000325</c:v>
              </c:pt>
            </c:numLit>
          </c:yVal>
        </c:ser>
        <c:ser>
          <c:idx val="67"/>
          <c:order val="67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161.25000000000026</c:v>
              </c:pt>
              <c:pt idx="1">
                <c:v>161.25000000000034</c:v>
              </c:pt>
            </c:numLit>
          </c:xVal>
          <c:yVal>
            <c:numLit>
              <c:formatCode>General</c:formatCode>
              <c:ptCount val="2"/>
              <c:pt idx="0">
                <c:v>29.787500000000016</c:v>
              </c:pt>
              <c:pt idx="1">
                <c:v>25.592187500000186</c:v>
              </c:pt>
            </c:numLit>
          </c:yVal>
        </c:ser>
        <c:ser>
          <c:idx val="68"/>
          <c:order val="68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161.2499999999998</c:v>
              </c:pt>
              <c:pt idx="1">
                <c:v>152.62500000000028</c:v>
              </c:pt>
            </c:numLit>
          </c:xVal>
          <c:yVal>
            <c:numLit>
              <c:formatCode>General</c:formatCode>
              <c:ptCount val="2"/>
              <c:pt idx="0">
                <c:v>25.592187500000254</c:v>
              </c:pt>
              <c:pt idx="1">
                <c:v>29.787500000000154</c:v>
              </c:pt>
            </c:numLit>
          </c:yVal>
        </c:ser>
        <c:ser>
          <c:idx val="69"/>
          <c:order val="69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169.87500000000028</c:v>
              </c:pt>
              <c:pt idx="1">
                <c:v>161.2499999999998</c:v>
              </c:pt>
            </c:numLit>
          </c:xVal>
          <c:yVal>
            <c:numLit>
              <c:formatCode>General</c:formatCode>
              <c:ptCount val="2"/>
              <c:pt idx="0">
                <c:v>29.787500000000154</c:v>
              </c:pt>
              <c:pt idx="1">
                <c:v>25.592187500000254</c:v>
              </c:pt>
            </c:numLit>
          </c:yVal>
        </c:ser>
        <c:ser>
          <c:idx val="70"/>
          <c:order val="70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161.25000000000034</c:v>
              </c:pt>
              <c:pt idx="1">
                <c:v>152.62500000000026</c:v>
              </c:pt>
            </c:numLit>
          </c:xVal>
          <c:yVal>
            <c:numLit>
              <c:formatCode>General</c:formatCode>
              <c:ptCount val="2"/>
              <c:pt idx="0">
                <c:v>25.592187500000186</c:v>
              </c:pt>
              <c:pt idx="1">
                <c:v>24.193750000000026</c:v>
              </c:pt>
            </c:numLit>
          </c:yVal>
        </c:ser>
        <c:ser>
          <c:idx val="71"/>
          <c:order val="71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169.87500000000026</c:v>
              </c:pt>
              <c:pt idx="1">
                <c:v>161.25000000000034</c:v>
              </c:pt>
            </c:numLit>
          </c:xVal>
          <c:yVal>
            <c:numLit>
              <c:formatCode>General</c:formatCode>
              <c:ptCount val="2"/>
              <c:pt idx="0">
                <c:v>24.193749999999028</c:v>
              </c:pt>
              <c:pt idx="1">
                <c:v>25.592187500000186</c:v>
              </c:pt>
            </c:numLit>
          </c:yVal>
        </c:ser>
        <c:ser>
          <c:idx val="72"/>
          <c:order val="72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178.49999999999994</c:v>
              </c:pt>
              <c:pt idx="1">
                <c:v>178.50000000000003</c:v>
              </c:pt>
            </c:numLit>
          </c:xVal>
          <c:yVal>
            <c:numLit>
              <c:formatCode>General</c:formatCode>
              <c:ptCount val="2"/>
              <c:pt idx="0">
                <c:v>29.787500000000012</c:v>
              </c:pt>
              <c:pt idx="1">
                <c:v>25.592187500000186</c:v>
              </c:pt>
            </c:numLit>
          </c:yVal>
        </c:ser>
        <c:ser>
          <c:idx val="73"/>
          <c:order val="73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178.49999999999957</c:v>
              </c:pt>
              <c:pt idx="1">
                <c:v>169.87499999999997</c:v>
              </c:pt>
            </c:numLit>
          </c:xVal>
          <c:yVal>
            <c:numLit>
              <c:formatCode>General</c:formatCode>
              <c:ptCount val="2"/>
              <c:pt idx="0">
                <c:v>25.59218750000025</c:v>
              </c:pt>
              <c:pt idx="1">
                <c:v>29.787500000000151</c:v>
              </c:pt>
            </c:numLit>
          </c:yVal>
        </c:ser>
        <c:ser>
          <c:idx val="74"/>
          <c:order val="74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187.12499999999997</c:v>
              </c:pt>
              <c:pt idx="1">
                <c:v>178.49999999999957</c:v>
              </c:pt>
            </c:numLit>
          </c:xVal>
          <c:yVal>
            <c:numLit>
              <c:formatCode>General</c:formatCode>
              <c:ptCount val="2"/>
              <c:pt idx="0">
                <c:v>29.787500000000151</c:v>
              </c:pt>
              <c:pt idx="1">
                <c:v>25.59218750000025</c:v>
              </c:pt>
            </c:numLit>
          </c:yVal>
        </c:ser>
        <c:ser>
          <c:idx val="75"/>
          <c:order val="75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178.50000000000003</c:v>
              </c:pt>
              <c:pt idx="1">
                <c:v>169.87499999999994</c:v>
              </c:pt>
            </c:numLit>
          </c:xVal>
          <c:yVal>
            <c:numLit>
              <c:formatCode>General</c:formatCode>
              <c:ptCount val="2"/>
              <c:pt idx="0">
                <c:v>25.592187500000186</c:v>
              </c:pt>
              <c:pt idx="1">
                <c:v>24.193750000000023</c:v>
              </c:pt>
            </c:numLit>
          </c:yVal>
        </c:ser>
        <c:ser>
          <c:idx val="76"/>
          <c:order val="76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187.12499999999994</c:v>
              </c:pt>
              <c:pt idx="1">
                <c:v>178.50000000000003</c:v>
              </c:pt>
            </c:numLit>
          </c:xVal>
          <c:yVal>
            <c:numLit>
              <c:formatCode>General</c:formatCode>
              <c:ptCount val="2"/>
              <c:pt idx="0">
                <c:v>24.193749999999024</c:v>
              </c:pt>
              <c:pt idx="1">
                <c:v>25.592187500000186</c:v>
              </c:pt>
            </c:numLit>
          </c:yVal>
        </c:ser>
        <c:ser>
          <c:idx val="77"/>
          <c:order val="77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230.25000000000028</c:v>
              </c:pt>
              <c:pt idx="1">
                <c:v>230.25000000000037</c:v>
              </c:pt>
            </c:numLit>
          </c:xVal>
          <c:yVal>
            <c:numLit>
              <c:formatCode>General</c:formatCode>
              <c:ptCount val="2"/>
              <c:pt idx="0">
                <c:v>29.787500000000012</c:v>
              </c:pt>
              <c:pt idx="1">
                <c:v>25.592187500000186</c:v>
              </c:pt>
            </c:numLit>
          </c:yVal>
        </c:ser>
        <c:ser>
          <c:idx val="78"/>
          <c:order val="78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230.24999999999983</c:v>
              </c:pt>
              <c:pt idx="1">
                <c:v>221.62500000000031</c:v>
              </c:pt>
            </c:numLit>
          </c:xVal>
          <c:yVal>
            <c:numLit>
              <c:formatCode>General</c:formatCode>
              <c:ptCount val="2"/>
              <c:pt idx="0">
                <c:v>25.59218750000025</c:v>
              </c:pt>
              <c:pt idx="1">
                <c:v>29.787500000000151</c:v>
              </c:pt>
            </c:numLit>
          </c:yVal>
        </c:ser>
        <c:ser>
          <c:idx val="79"/>
          <c:order val="79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238.87500000000031</c:v>
              </c:pt>
              <c:pt idx="1">
                <c:v>230.24999999999983</c:v>
              </c:pt>
            </c:numLit>
          </c:xVal>
          <c:yVal>
            <c:numLit>
              <c:formatCode>General</c:formatCode>
              <c:ptCount val="2"/>
              <c:pt idx="0">
                <c:v>29.787500000000151</c:v>
              </c:pt>
              <c:pt idx="1">
                <c:v>25.59218750000025</c:v>
              </c:pt>
            </c:numLit>
          </c:yVal>
        </c:ser>
        <c:ser>
          <c:idx val="80"/>
          <c:order val="80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230.25000000000037</c:v>
              </c:pt>
              <c:pt idx="1">
                <c:v>221.62500000000028</c:v>
              </c:pt>
            </c:numLit>
          </c:xVal>
          <c:yVal>
            <c:numLit>
              <c:formatCode>General</c:formatCode>
              <c:ptCount val="2"/>
              <c:pt idx="0">
                <c:v>25.592187500000186</c:v>
              </c:pt>
              <c:pt idx="1">
                <c:v>24.193750000000023</c:v>
              </c:pt>
            </c:numLit>
          </c:yVal>
        </c:ser>
        <c:ser>
          <c:idx val="81"/>
          <c:order val="81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238.87500000000028</c:v>
              </c:pt>
              <c:pt idx="1">
                <c:v>230.25000000000037</c:v>
              </c:pt>
            </c:numLit>
          </c:xVal>
          <c:yVal>
            <c:numLit>
              <c:formatCode>General</c:formatCode>
              <c:ptCount val="2"/>
              <c:pt idx="0">
                <c:v>24.193749999999024</c:v>
              </c:pt>
              <c:pt idx="1">
                <c:v>25.592187500000186</c:v>
              </c:pt>
            </c:numLit>
          </c:yVal>
        </c:ser>
        <c:ser>
          <c:idx val="82"/>
          <c:order val="82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213.00000000000028</c:v>
              </c:pt>
              <c:pt idx="1">
                <c:v>213.00000000000037</c:v>
              </c:pt>
            </c:numLit>
          </c:xVal>
          <c:yVal>
            <c:numLit>
              <c:formatCode>General</c:formatCode>
              <c:ptCount val="2"/>
              <c:pt idx="0">
                <c:v>29.787500000000012</c:v>
              </c:pt>
              <c:pt idx="1">
                <c:v>25.592187500000186</c:v>
              </c:pt>
            </c:numLit>
          </c:yVal>
        </c:ser>
        <c:ser>
          <c:idx val="83"/>
          <c:order val="83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212.99999999999991</c:v>
              </c:pt>
              <c:pt idx="1">
                <c:v>204.37500000000031</c:v>
              </c:pt>
            </c:numLit>
          </c:xVal>
          <c:yVal>
            <c:numLit>
              <c:formatCode>General</c:formatCode>
              <c:ptCount val="2"/>
              <c:pt idx="0">
                <c:v>25.59218750000025</c:v>
              </c:pt>
              <c:pt idx="1">
                <c:v>29.787500000000151</c:v>
              </c:pt>
            </c:numLit>
          </c:yVal>
        </c:ser>
        <c:ser>
          <c:idx val="84"/>
          <c:order val="84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221.62500000000031</c:v>
              </c:pt>
              <c:pt idx="1">
                <c:v>212.99999999999991</c:v>
              </c:pt>
            </c:numLit>
          </c:xVal>
          <c:yVal>
            <c:numLit>
              <c:formatCode>General</c:formatCode>
              <c:ptCount val="2"/>
              <c:pt idx="0">
                <c:v>29.787500000000151</c:v>
              </c:pt>
              <c:pt idx="1">
                <c:v>25.59218750000025</c:v>
              </c:pt>
            </c:numLit>
          </c:yVal>
        </c:ser>
        <c:ser>
          <c:idx val="85"/>
          <c:order val="85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213.00000000000037</c:v>
              </c:pt>
              <c:pt idx="1">
                <c:v>204.37500000000028</c:v>
              </c:pt>
            </c:numLit>
          </c:xVal>
          <c:yVal>
            <c:numLit>
              <c:formatCode>General</c:formatCode>
              <c:ptCount val="2"/>
              <c:pt idx="0">
                <c:v>25.592187500000186</c:v>
              </c:pt>
              <c:pt idx="1">
                <c:v>24.193750000000023</c:v>
              </c:pt>
            </c:numLit>
          </c:yVal>
        </c:ser>
        <c:ser>
          <c:idx val="86"/>
          <c:order val="86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221.62500000000028</c:v>
              </c:pt>
              <c:pt idx="1">
                <c:v>213.00000000000037</c:v>
              </c:pt>
            </c:numLit>
          </c:xVal>
          <c:yVal>
            <c:numLit>
              <c:formatCode>General</c:formatCode>
              <c:ptCount val="2"/>
              <c:pt idx="0">
                <c:v>24.193749999999024</c:v>
              </c:pt>
              <c:pt idx="1">
                <c:v>25.592187500000186</c:v>
              </c:pt>
            </c:numLit>
          </c:yVal>
        </c:ser>
        <c:ser>
          <c:idx val="87"/>
          <c:order val="87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195.75000000000028</c:v>
              </c:pt>
              <c:pt idx="1">
                <c:v>195.75000000000037</c:v>
              </c:pt>
            </c:numLit>
          </c:xVal>
          <c:yVal>
            <c:numLit>
              <c:formatCode>General</c:formatCode>
              <c:ptCount val="2"/>
              <c:pt idx="0">
                <c:v>29.787500000000151</c:v>
              </c:pt>
              <c:pt idx="1">
                <c:v>25.592187500000321</c:v>
              </c:pt>
            </c:numLit>
          </c:yVal>
        </c:ser>
        <c:ser>
          <c:idx val="88"/>
          <c:order val="88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195.74999999999983</c:v>
              </c:pt>
              <c:pt idx="1">
                <c:v>187.12500000000031</c:v>
              </c:pt>
            </c:numLit>
          </c:xVal>
          <c:yVal>
            <c:numLit>
              <c:formatCode>General</c:formatCode>
              <c:ptCount val="2"/>
              <c:pt idx="0">
                <c:v>25.59218750000041</c:v>
              </c:pt>
              <c:pt idx="1">
                <c:v>29.7875000000003</c:v>
              </c:pt>
            </c:numLit>
          </c:yVal>
        </c:ser>
        <c:ser>
          <c:idx val="89"/>
          <c:order val="89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204.37500000000031</c:v>
              </c:pt>
              <c:pt idx="1">
                <c:v>195.74999999999983</c:v>
              </c:pt>
            </c:numLit>
          </c:xVal>
          <c:yVal>
            <c:numLit>
              <c:formatCode>General</c:formatCode>
              <c:ptCount val="2"/>
              <c:pt idx="0">
                <c:v>29.7875000000003</c:v>
              </c:pt>
              <c:pt idx="1">
                <c:v>25.59218750000041</c:v>
              </c:pt>
            </c:numLit>
          </c:yVal>
        </c:ser>
        <c:ser>
          <c:idx val="90"/>
          <c:order val="90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195.75000000000037</c:v>
              </c:pt>
              <c:pt idx="1">
                <c:v>187.12500000000028</c:v>
              </c:pt>
            </c:numLit>
          </c:xVal>
          <c:yVal>
            <c:numLit>
              <c:formatCode>General</c:formatCode>
              <c:ptCount val="2"/>
              <c:pt idx="0">
                <c:v>25.592187500000321</c:v>
              </c:pt>
              <c:pt idx="1">
                <c:v>24.193750000000161</c:v>
              </c:pt>
            </c:numLit>
          </c:yVal>
        </c:ser>
        <c:ser>
          <c:idx val="91"/>
          <c:order val="91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204.37500000000028</c:v>
              </c:pt>
              <c:pt idx="1">
                <c:v>195.75000000000037</c:v>
              </c:pt>
            </c:numLit>
          </c:xVal>
          <c:yVal>
            <c:numLit>
              <c:formatCode>General</c:formatCode>
              <c:ptCount val="2"/>
              <c:pt idx="0">
                <c:v>24.193749999999177</c:v>
              </c:pt>
              <c:pt idx="1">
                <c:v>25.592187500000321</c:v>
              </c:pt>
            </c:numLit>
          </c:yVal>
        </c:ser>
        <c:ser>
          <c:idx val="92"/>
          <c:order val="92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23.250000000000256</c:v>
              </c:pt>
              <c:pt idx="1">
                <c:v>23.25000000000033</c:v>
              </c:pt>
            </c:numLit>
          </c:xVal>
          <c:yVal>
            <c:numLit>
              <c:formatCode>General</c:formatCode>
              <c:ptCount val="2"/>
              <c:pt idx="0">
                <c:v>29.787500000000186</c:v>
              </c:pt>
              <c:pt idx="1">
                <c:v>25.592187500000353</c:v>
              </c:pt>
            </c:numLit>
          </c:yVal>
        </c:ser>
        <c:ser>
          <c:idx val="93"/>
          <c:order val="93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23.249999999999886</c:v>
              </c:pt>
              <c:pt idx="1">
                <c:v>14.625000000000284</c:v>
              </c:pt>
            </c:numLit>
          </c:xVal>
          <c:yVal>
            <c:numLit>
              <c:formatCode>General</c:formatCode>
              <c:ptCount val="2"/>
              <c:pt idx="0">
                <c:v>25.592187500000428</c:v>
              </c:pt>
              <c:pt idx="1">
                <c:v>29.787500000000325</c:v>
              </c:pt>
            </c:numLit>
          </c:yVal>
        </c:ser>
        <c:ser>
          <c:idx val="94"/>
          <c:order val="94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31.875000000000284</c:v>
              </c:pt>
              <c:pt idx="1">
                <c:v>23.249999999999886</c:v>
              </c:pt>
            </c:numLit>
          </c:xVal>
          <c:yVal>
            <c:numLit>
              <c:formatCode>General</c:formatCode>
              <c:ptCount val="2"/>
              <c:pt idx="0">
                <c:v>29.787500000000325</c:v>
              </c:pt>
              <c:pt idx="1">
                <c:v>25.592187500000428</c:v>
              </c:pt>
            </c:numLit>
          </c:yVal>
        </c:ser>
        <c:ser>
          <c:idx val="95"/>
          <c:order val="95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23.25000000000033</c:v>
              </c:pt>
              <c:pt idx="1">
                <c:v>14.625000000000256</c:v>
              </c:pt>
            </c:numLit>
          </c:xVal>
          <c:yVal>
            <c:numLit>
              <c:formatCode>General</c:formatCode>
              <c:ptCount val="2"/>
              <c:pt idx="0">
                <c:v>25.592187500000353</c:v>
              </c:pt>
              <c:pt idx="1">
                <c:v>24.19375000000019</c:v>
              </c:pt>
            </c:numLit>
          </c:yVal>
        </c:ser>
        <c:ser>
          <c:idx val="96"/>
          <c:order val="96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31.875000000000256</c:v>
              </c:pt>
              <c:pt idx="1">
                <c:v>23.25000000000033</c:v>
              </c:pt>
            </c:numLit>
          </c:xVal>
          <c:yVal>
            <c:numLit>
              <c:formatCode>General</c:formatCode>
              <c:ptCount val="2"/>
              <c:pt idx="0">
                <c:v>24.193749999999206</c:v>
              </c:pt>
              <c:pt idx="1">
                <c:v>25.592187500000353</c:v>
              </c:pt>
            </c:numLit>
          </c:yVal>
        </c:ser>
        <c:ser>
          <c:idx val="97"/>
          <c:order val="97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40.500000000000256</c:v>
              </c:pt>
              <c:pt idx="1">
                <c:v>40.500000000000341</c:v>
              </c:pt>
            </c:numLit>
          </c:xVal>
          <c:yVal>
            <c:numLit>
              <c:formatCode>General</c:formatCode>
              <c:ptCount val="2"/>
              <c:pt idx="0">
                <c:v>29.787500000002129</c:v>
              </c:pt>
              <c:pt idx="1">
                <c:v>25.592187500002304</c:v>
              </c:pt>
            </c:numLit>
          </c:yVal>
        </c:ser>
        <c:ser>
          <c:idx val="98"/>
          <c:order val="98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40.499999999999908</c:v>
              </c:pt>
              <c:pt idx="1">
                <c:v>31.875000000000284</c:v>
              </c:pt>
            </c:numLit>
          </c:xVal>
          <c:yVal>
            <c:numLit>
              <c:formatCode>General</c:formatCode>
              <c:ptCount val="2"/>
              <c:pt idx="0">
                <c:v>25.592187500002389</c:v>
              </c:pt>
              <c:pt idx="1">
                <c:v>29.787500000002289</c:v>
              </c:pt>
            </c:numLit>
          </c:yVal>
        </c:ser>
        <c:ser>
          <c:idx val="99"/>
          <c:order val="99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49.125000000000306</c:v>
              </c:pt>
              <c:pt idx="1">
                <c:v>40.499999999999908</c:v>
              </c:pt>
            </c:numLit>
          </c:xVal>
          <c:yVal>
            <c:numLit>
              <c:formatCode>General</c:formatCode>
              <c:ptCount val="2"/>
              <c:pt idx="0">
                <c:v>29.787500000002289</c:v>
              </c:pt>
              <c:pt idx="1">
                <c:v>25.592187500002389</c:v>
              </c:pt>
            </c:numLit>
          </c:yVal>
        </c:ser>
        <c:ser>
          <c:idx val="100"/>
          <c:order val="100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40.500000000000341</c:v>
              </c:pt>
              <c:pt idx="1">
                <c:v>31.875000000000256</c:v>
              </c:pt>
            </c:numLit>
          </c:xVal>
          <c:yVal>
            <c:numLit>
              <c:formatCode>General</c:formatCode>
              <c:ptCount val="2"/>
              <c:pt idx="0">
                <c:v>25.592187500002304</c:v>
              </c:pt>
              <c:pt idx="1">
                <c:v>24.19375000000214</c:v>
              </c:pt>
            </c:numLit>
          </c:yVal>
        </c:ser>
        <c:ser>
          <c:idx val="101"/>
          <c:order val="101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49.125000000000263</c:v>
              </c:pt>
              <c:pt idx="1">
                <c:v>40.500000000000341</c:v>
              </c:pt>
            </c:numLit>
          </c:xVal>
          <c:yVal>
            <c:numLit>
              <c:formatCode>General</c:formatCode>
              <c:ptCount val="2"/>
              <c:pt idx="0">
                <c:v>24.193750000001167</c:v>
              </c:pt>
              <c:pt idx="1">
                <c:v>25.592187500002304</c:v>
              </c:pt>
            </c:numLit>
          </c:yVal>
        </c:ser>
        <c:ser>
          <c:idx val="102"/>
          <c:order val="102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57.750000000000597</c:v>
              </c:pt>
              <c:pt idx="1">
                <c:v>57.750000000000675</c:v>
              </c:pt>
            </c:numLit>
          </c:xVal>
          <c:yVal>
            <c:numLit>
              <c:formatCode>General</c:formatCode>
              <c:ptCount val="2"/>
              <c:pt idx="0">
                <c:v>29.787500000001664</c:v>
              </c:pt>
              <c:pt idx="1">
                <c:v>25.592187500001831</c:v>
              </c:pt>
            </c:numLit>
          </c:yVal>
        </c:ser>
        <c:ser>
          <c:idx val="103"/>
          <c:order val="103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57.750000000000227</c:v>
              </c:pt>
              <c:pt idx="1">
                <c:v>49.125000000000632</c:v>
              </c:pt>
            </c:numLit>
          </c:xVal>
          <c:yVal>
            <c:numLit>
              <c:formatCode>General</c:formatCode>
              <c:ptCount val="2"/>
              <c:pt idx="0">
                <c:v>25.592187500001913</c:v>
              </c:pt>
              <c:pt idx="1">
                <c:v>29.787500000001813</c:v>
              </c:pt>
            </c:numLit>
          </c:yVal>
        </c:ser>
        <c:ser>
          <c:idx val="104"/>
          <c:order val="104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66.375000000000554</c:v>
              </c:pt>
              <c:pt idx="1">
                <c:v>57.750000000000227</c:v>
              </c:pt>
            </c:numLit>
          </c:xVal>
          <c:yVal>
            <c:numLit>
              <c:formatCode>General</c:formatCode>
              <c:ptCount val="2"/>
              <c:pt idx="0">
                <c:v>29.787500000001813</c:v>
              </c:pt>
              <c:pt idx="1">
                <c:v>25.592187500001913</c:v>
              </c:pt>
            </c:numLit>
          </c:yVal>
        </c:ser>
        <c:ser>
          <c:idx val="105"/>
          <c:order val="105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57.750000000000675</c:v>
              </c:pt>
              <c:pt idx="1">
                <c:v>49.125000000000611</c:v>
              </c:pt>
            </c:numLit>
          </c:xVal>
          <c:yVal>
            <c:numLit>
              <c:formatCode>General</c:formatCode>
              <c:ptCount val="2"/>
              <c:pt idx="0">
                <c:v>25.592187500001831</c:v>
              </c:pt>
              <c:pt idx="1">
                <c:v>24.193750000001675</c:v>
              </c:pt>
            </c:numLit>
          </c:yVal>
        </c:ser>
        <c:ser>
          <c:idx val="106"/>
          <c:order val="106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66.37500000000054</c:v>
              </c:pt>
              <c:pt idx="1">
                <c:v>57.750000000000675</c:v>
              </c:pt>
            </c:numLit>
          </c:xVal>
          <c:yVal>
            <c:numLit>
              <c:formatCode>General</c:formatCode>
              <c:ptCount val="2"/>
              <c:pt idx="0">
                <c:v>24.193750000000701</c:v>
              </c:pt>
              <c:pt idx="1">
                <c:v>25.592187500001831</c:v>
              </c:pt>
            </c:numLit>
          </c:yVal>
        </c:ser>
        <c:ser>
          <c:idx val="107"/>
          <c:order val="107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75.000000000000284</c:v>
              </c:pt>
              <c:pt idx="1">
                <c:v>75.000000000000369</c:v>
              </c:pt>
            </c:numLit>
          </c:xVal>
          <c:yVal>
            <c:numLit>
              <c:formatCode>General</c:formatCode>
              <c:ptCount val="2"/>
              <c:pt idx="0">
                <c:v>29.787500000001526</c:v>
              </c:pt>
              <c:pt idx="1">
                <c:v>25.592187500001689</c:v>
              </c:pt>
            </c:numLit>
          </c:yVal>
        </c:ser>
        <c:ser>
          <c:idx val="108"/>
          <c:order val="108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74.999999999999957</c:v>
              </c:pt>
              <c:pt idx="1">
                <c:v>66.37500000000027</c:v>
              </c:pt>
            </c:numLit>
          </c:xVal>
          <c:yVal>
            <c:numLit>
              <c:formatCode>General</c:formatCode>
              <c:ptCount val="2"/>
              <c:pt idx="0">
                <c:v>25.592187500001764</c:v>
              </c:pt>
              <c:pt idx="1">
                <c:v>29.787500000001664</c:v>
              </c:pt>
            </c:numLit>
          </c:yVal>
        </c:ser>
        <c:ser>
          <c:idx val="109"/>
          <c:order val="109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83.62500000000027</c:v>
              </c:pt>
              <c:pt idx="1">
                <c:v>74.999999999999957</c:v>
              </c:pt>
            </c:numLit>
          </c:xVal>
          <c:yVal>
            <c:numLit>
              <c:formatCode>General</c:formatCode>
              <c:ptCount val="2"/>
              <c:pt idx="0">
                <c:v>29.787500000001664</c:v>
              </c:pt>
              <c:pt idx="1">
                <c:v>25.592187500001764</c:v>
              </c:pt>
            </c:numLit>
          </c:yVal>
        </c:ser>
        <c:ser>
          <c:idx val="110"/>
          <c:order val="110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75.000000000000369</c:v>
              </c:pt>
              <c:pt idx="1">
                <c:v>66.375000000000242</c:v>
              </c:pt>
            </c:numLit>
          </c:xVal>
          <c:yVal>
            <c:numLit>
              <c:formatCode>General</c:formatCode>
              <c:ptCount val="2"/>
              <c:pt idx="0">
                <c:v>25.592187500001689</c:v>
              </c:pt>
              <c:pt idx="1">
                <c:v>24.193750000001533</c:v>
              </c:pt>
            </c:numLit>
          </c:yVal>
        </c:ser>
        <c:ser>
          <c:idx val="111"/>
          <c:order val="111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83.625000000000242</c:v>
              </c:pt>
              <c:pt idx="1">
                <c:v>75.000000000000369</c:v>
              </c:pt>
            </c:numLit>
          </c:xVal>
          <c:yVal>
            <c:numLit>
              <c:formatCode>General</c:formatCode>
              <c:ptCount val="2"/>
              <c:pt idx="0">
                <c:v>24.193750000000563</c:v>
              </c:pt>
              <c:pt idx="1">
                <c:v>25.592187500001689</c:v>
              </c:pt>
            </c:numLit>
          </c:yVal>
        </c:ser>
        <c:ser>
          <c:idx val="112"/>
          <c:order val="112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92.250000000000256</c:v>
              </c:pt>
              <c:pt idx="1">
                <c:v>92.250000000000341</c:v>
              </c:pt>
            </c:numLit>
          </c:xVal>
          <c:yVal>
            <c:numLit>
              <c:formatCode>General</c:formatCode>
              <c:ptCount val="2"/>
              <c:pt idx="0">
                <c:v>29.78750000000122</c:v>
              </c:pt>
              <c:pt idx="1">
                <c:v>25.592187500001412</c:v>
              </c:pt>
            </c:numLit>
          </c:yVal>
        </c:ser>
        <c:ser>
          <c:idx val="113"/>
          <c:order val="113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92.249999999999929</c:v>
              </c:pt>
              <c:pt idx="1">
                <c:v>83.625000000000242</c:v>
              </c:pt>
            </c:numLit>
          </c:xVal>
          <c:yVal>
            <c:numLit>
              <c:formatCode>General</c:formatCode>
              <c:ptCount val="2"/>
              <c:pt idx="0">
                <c:v>25.592187500001486</c:v>
              </c:pt>
              <c:pt idx="1">
                <c:v>29.787500000001376</c:v>
              </c:pt>
            </c:numLit>
          </c:yVal>
        </c:ser>
        <c:ser>
          <c:idx val="114"/>
          <c:order val="114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100.87500000000024</c:v>
              </c:pt>
              <c:pt idx="1">
                <c:v>92.249999999999929</c:v>
              </c:pt>
            </c:numLit>
          </c:xVal>
          <c:yVal>
            <c:numLit>
              <c:formatCode>General</c:formatCode>
              <c:ptCount val="2"/>
              <c:pt idx="0">
                <c:v>29.787500000001376</c:v>
              </c:pt>
              <c:pt idx="1">
                <c:v>25.592187500001486</c:v>
              </c:pt>
            </c:numLit>
          </c:yVal>
        </c:ser>
        <c:ser>
          <c:idx val="115"/>
          <c:order val="115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92.250000000000341</c:v>
              </c:pt>
              <c:pt idx="1">
                <c:v>83.625000000000199</c:v>
              </c:pt>
            </c:numLit>
          </c:xVal>
          <c:yVal>
            <c:numLit>
              <c:formatCode>General</c:formatCode>
              <c:ptCount val="2"/>
              <c:pt idx="0">
                <c:v>25.592187500001412</c:v>
              </c:pt>
              <c:pt idx="1">
                <c:v>24.193750000001227</c:v>
              </c:pt>
            </c:numLit>
          </c:yVal>
        </c:ser>
        <c:ser>
          <c:idx val="116"/>
          <c:order val="116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100.87500000000021</c:v>
              </c:pt>
              <c:pt idx="1">
                <c:v>92.250000000000341</c:v>
              </c:pt>
            </c:numLit>
          </c:xVal>
          <c:yVal>
            <c:numLit>
              <c:formatCode>General</c:formatCode>
              <c:ptCount val="2"/>
              <c:pt idx="0">
                <c:v>24.193750000000264</c:v>
              </c:pt>
              <c:pt idx="1">
                <c:v>25.592187500001412</c:v>
              </c:pt>
            </c:numLit>
          </c:yVal>
        </c:ser>
        <c:ser>
          <c:idx val="117"/>
          <c:order val="117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109.5000000000006</c:v>
              </c:pt>
              <c:pt idx="1">
                <c:v>109.50000000000068</c:v>
              </c:pt>
            </c:numLit>
          </c:xVal>
          <c:yVal>
            <c:numLit>
              <c:formatCode>General</c:formatCode>
              <c:ptCount val="2"/>
              <c:pt idx="0">
                <c:v>29.787500000000769</c:v>
              </c:pt>
              <c:pt idx="1">
                <c:v>25.592187500000932</c:v>
              </c:pt>
            </c:numLit>
          </c:yVal>
        </c:ser>
        <c:ser>
          <c:idx val="118"/>
          <c:order val="118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109.50000000000023</c:v>
              </c:pt>
              <c:pt idx="1">
                <c:v>100.87500000000058</c:v>
              </c:pt>
            </c:numLit>
          </c:xVal>
          <c:yVal>
            <c:numLit>
              <c:formatCode>General</c:formatCode>
              <c:ptCount val="2"/>
              <c:pt idx="0">
                <c:v>25.592187500001007</c:v>
              </c:pt>
              <c:pt idx="1">
                <c:v>29.787500000000907</c:v>
              </c:pt>
            </c:numLit>
          </c:yVal>
        </c:ser>
        <c:ser>
          <c:idx val="119"/>
          <c:order val="119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118.12500000000058</c:v>
              </c:pt>
              <c:pt idx="1">
                <c:v>109.50000000000023</c:v>
              </c:pt>
            </c:numLit>
          </c:xVal>
          <c:yVal>
            <c:numLit>
              <c:formatCode>General</c:formatCode>
              <c:ptCount val="2"/>
              <c:pt idx="0">
                <c:v>29.787500000000907</c:v>
              </c:pt>
              <c:pt idx="1">
                <c:v>25.592187500001007</c:v>
              </c:pt>
            </c:numLit>
          </c:yVal>
        </c:ser>
        <c:ser>
          <c:idx val="120"/>
          <c:order val="120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109.50000000000068</c:v>
              </c:pt>
              <c:pt idx="1">
                <c:v>100.87500000000055</c:v>
              </c:pt>
            </c:numLit>
          </c:xVal>
          <c:yVal>
            <c:numLit>
              <c:formatCode>General</c:formatCode>
              <c:ptCount val="2"/>
              <c:pt idx="0">
                <c:v>25.592187500000932</c:v>
              </c:pt>
              <c:pt idx="1">
                <c:v>24.193750000000779</c:v>
              </c:pt>
            </c:numLit>
          </c:yVal>
        </c:ser>
        <c:ser>
          <c:idx val="121"/>
          <c:order val="121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118.12500000000055</c:v>
              </c:pt>
              <c:pt idx="1">
                <c:v>109.50000000000068</c:v>
              </c:pt>
            </c:numLit>
          </c:xVal>
          <c:yVal>
            <c:numLit>
              <c:formatCode>General</c:formatCode>
              <c:ptCount val="2"/>
              <c:pt idx="0">
                <c:v>24.193749999999781</c:v>
              </c:pt>
              <c:pt idx="1">
                <c:v>25.592187500000932</c:v>
              </c:pt>
            </c:numLit>
          </c:yVal>
        </c:ser>
        <c:ser>
          <c:idx val="122"/>
          <c:order val="122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126.75000000000028</c:v>
              </c:pt>
              <c:pt idx="1">
                <c:v>126.75000000000037</c:v>
              </c:pt>
            </c:numLit>
          </c:xVal>
          <c:yVal>
            <c:numLit>
              <c:formatCode>General</c:formatCode>
              <c:ptCount val="2"/>
              <c:pt idx="0">
                <c:v>29.78750000000062</c:v>
              </c:pt>
              <c:pt idx="1">
                <c:v>25.592187500000787</c:v>
              </c:pt>
            </c:numLit>
          </c:yVal>
        </c:ser>
        <c:ser>
          <c:idx val="123"/>
          <c:order val="123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126.74999999999996</c:v>
              </c:pt>
              <c:pt idx="1">
                <c:v>118.12500000000027</c:v>
              </c:pt>
            </c:numLit>
          </c:xVal>
          <c:yVal>
            <c:numLit>
              <c:formatCode>General</c:formatCode>
              <c:ptCount val="2"/>
              <c:pt idx="0">
                <c:v>25.592187500000858</c:v>
              </c:pt>
              <c:pt idx="1">
                <c:v>29.787500000000769</c:v>
              </c:pt>
            </c:numLit>
          </c:yVal>
        </c:ser>
        <c:ser>
          <c:idx val="124"/>
          <c:order val="124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135.37500000000031</c:v>
              </c:pt>
              <c:pt idx="1">
                <c:v>126.74999999999996</c:v>
              </c:pt>
            </c:numLit>
          </c:xVal>
          <c:yVal>
            <c:numLit>
              <c:formatCode>General</c:formatCode>
              <c:ptCount val="2"/>
              <c:pt idx="0">
                <c:v>29.787500000000769</c:v>
              </c:pt>
              <c:pt idx="1">
                <c:v>25.592187500000858</c:v>
              </c:pt>
            </c:numLit>
          </c:yVal>
        </c:ser>
        <c:ser>
          <c:idx val="125"/>
          <c:order val="125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126.75000000000037</c:v>
              </c:pt>
              <c:pt idx="1">
                <c:v>118.12500000000024</c:v>
              </c:pt>
            </c:numLit>
          </c:xVal>
          <c:yVal>
            <c:numLit>
              <c:formatCode>General</c:formatCode>
              <c:ptCount val="2"/>
              <c:pt idx="0">
                <c:v>25.592187500000787</c:v>
              </c:pt>
              <c:pt idx="1">
                <c:v>24.19375000000063</c:v>
              </c:pt>
            </c:numLit>
          </c:yVal>
        </c:ser>
        <c:ser>
          <c:idx val="126"/>
          <c:order val="126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135.37500000000028</c:v>
              </c:pt>
              <c:pt idx="1">
                <c:v>126.75000000000037</c:v>
              </c:pt>
            </c:numLit>
          </c:xVal>
          <c:yVal>
            <c:numLit>
              <c:formatCode>General</c:formatCode>
              <c:ptCount val="2"/>
              <c:pt idx="0">
                <c:v>24.193749999999635</c:v>
              </c:pt>
              <c:pt idx="1">
                <c:v>25.592187500000787</c:v>
              </c:pt>
            </c:numLit>
          </c:yVal>
        </c:ser>
        <c:ser>
          <c:idx val="127"/>
          <c:order val="127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144.0000000000006</c:v>
              </c:pt>
              <c:pt idx="1">
                <c:v>144.00000000000068</c:v>
              </c:pt>
            </c:numLit>
          </c:xVal>
          <c:yVal>
            <c:numLit>
              <c:formatCode>General</c:formatCode>
              <c:ptCount val="2"/>
              <c:pt idx="0">
                <c:v>29.787500000000154</c:v>
              </c:pt>
              <c:pt idx="1">
                <c:v>25.592187500000325</c:v>
              </c:pt>
            </c:numLit>
          </c:yVal>
        </c:ser>
        <c:ser>
          <c:idx val="128"/>
          <c:order val="128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144.00000000000023</c:v>
              </c:pt>
              <c:pt idx="1">
                <c:v>135.37500000000063</c:v>
              </c:pt>
            </c:numLit>
          </c:xVal>
          <c:yVal>
            <c:numLit>
              <c:formatCode>General</c:formatCode>
              <c:ptCount val="2"/>
              <c:pt idx="0">
                <c:v>25.592187500000414</c:v>
              </c:pt>
              <c:pt idx="1">
                <c:v>29.787500000000303</c:v>
              </c:pt>
            </c:numLit>
          </c:yVal>
        </c:ser>
        <c:ser>
          <c:idx val="129"/>
          <c:order val="129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152.62500000000063</c:v>
              </c:pt>
              <c:pt idx="1">
                <c:v>144.00000000000023</c:v>
              </c:pt>
            </c:numLit>
          </c:xVal>
          <c:yVal>
            <c:numLit>
              <c:formatCode>General</c:formatCode>
              <c:ptCount val="2"/>
              <c:pt idx="0">
                <c:v>29.787500000000303</c:v>
              </c:pt>
              <c:pt idx="1">
                <c:v>25.592187500000414</c:v>
              </c:pt>
            </c:numLit>
          </c:yVal>
        </c:ser>
        <c:ser>
          <c:idx val="130"/>
          <c:order val="130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144.00000000000068</c:v>
              </c:pt>
              <c:pt idx="1">
                <c:v>135.3750000000006</c:v>
              </c:pt>
            </c:numLit>
          </c:xVal>
          <c:yVal>
            <c:numLit>
              <c:formatCode>General</c:formatCode>
              <c:ptCount val="2"/>
              <c:pt idx="0">
                <c:v>25.592187500000325</c:v>
              </c:pt>
              <c:pt idx="1">
                <c:v>24.193750000000165</c:v>
              </c:pt>
            </c:numLit>
          </c:yVal>
        </c:ser>
        <c:ser>
          <c:idx val="131"/>
          <c:order val="131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152.6250000000006</c:v>
              </c:pt>
              <c:pt idx="1">
                <c:v>144.00000000000068</c:v>
              </c:pt>
            </c:numLit>
          </c:xVal>
          <c:yVal>
            <c:numLit>
              <c:formatCode>General</c:formatCode>
              <c:ptCount val="2"/>
              <c:pt idx="0">
                <c:v>24.193749999999177</c:v>
              </c:pt>
              <c:pt idx="1">
                <c:v>25.592187500000325</c:v>
              </c:pt>
            </c:numLit>
          </c:yVal>
        </c:ser>
        <c:ser>
          <c:idx val="132"/>
          <c:order val="132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161.25000000000028</c:v>
              </c:pt>
              <c:pt idx="1">
                <c:v>161.25000000000037</c:v>
              </c:pt>
            </c:numLit>
          </c:xVal>
          <c:yVal>
            <c:numLit>
              <c:formatCode>General</c:formatCode>
              <c:ptCount val="2"/>
              <c:pt idx="0">
                <c:v>29.787500000000016</c:v>
              </c:pt>
              <c:pt idx="1">
                <c:v>25.592187500000186</c:v>
              </c:pt>
            </c:numLit>
          </c:yVal>
        </c:ser>
        <c:ser>
          <c:idx val="133"/>
          <c:order val="133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161.24999999999983</c:v>
              </c:pt>
              <c:pt idx="1">
                <c:v>152.62500000000031</c:v>
              </c:pt>
            </c:numLit>
          </c:xVal>
          <c:yVal>
            <c:numLit>
              <c:formatCode>General</c:formatCode>
              <c:ptCount val="2"/>
              <c:pt idx="0">
                <c:v>25.592187500000254</c:v>
              </c:pt>
              <c:pt idx="1">
                <c:v>29.787500000000154</c:v>
              </c:pt>
            </c:numLit>
          </c:yVal>
        </c:ser>
        <c:ser>
          <c:idx val="134"/>
          <c:order val="134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169.87500000000031</c:v>
              </c:pt>
              <c:pt idx="1">
                <c:v>161.24999999999983</c:v>
              </c:pt>
            </c:numLit>
          </c:xVal>
          <c:yVal>
            <c:numLit>
              <c:formatCode>General</c:formatCode>
              <c:ptCount val="2"/>
              <c:pt idx="0">
                <c:v>29.787500000000154</c:v>
              </c:pt>
              <c:pt idx="1">
                <c:v>25.592187500000254</c:v>
              </c:pt>
            </c:numLit>
          </c:yVal>
        </c:ser>
        <c:ser>
          <c:idx val="135"/>
          <c:order val="135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161.25000000000037</c:v>
              </c:pt>
              <c:pt idx="1">
                <c:v>152.62500000000028</c:v>
              </c:pt>
            </c:numLit>
          </c:xVal>
          <c:yVal>
            <c:numLit>
              <c:formatCode>General</c:formatCode>
              <c:ptCount val="2"/>
              <c:pt idx="0">
                <c:v>25.592187500000186</c:v>
              </c:pt>
              <c:pt idx="1">
                <c:v>24.193750000000026</c:v>
              </c:pt>
            </c:numLit>
          </c:yVal>
        </c:ser>
        <c:ser>
          <c:idx val="136"/>
          <c:order val="136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169.87500000000028</c:v>
              </c:pt>
              <c:pt idx="1">
                <c:v>161.25000000000037</c:v>
              </c:pt>
            </c:numLit>
          </c:xVal>
          <c:yVal>
            <c:numLit>
              <c:formatCode>General</c:formatCode>
              <c:ptCount val="2"/>
              <c:pt idx="0">
                <c:v>24.193749999999028</c:v>
              </c:pt>
              <c:pt idx="1">
                <c:v>25.592187500000186</c:v>
              </c:pt>
            </c:numLit>
          </c:yVal>
        </c:ser>
        <c:ser>
          <c:idx val="137"/>
          <c:order val="137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178.49999999999997</c:v>
              </c:pt>
              <c:pt idx="1">
                <c:v>178.50000000000006</c:v>
              </c:pt>
            </c:numLit>
          </c:xVal>
          <c:yVal>
            <c:numLit>
              <c:formatCode>General</c:formatCode>
              <c:ptCount val="2"/>
              <c:pt idx="0">
                <c:v>29.787500000000012</c:v>
              </c:pt>
              <c:pt idx="1">
                <c:v>25.592187500000186</c:v>
              </c:pt>
            </c:numLit>
          </c:yVal>
        </c:ser>
        <c:ser>
          <c:idx val="138"/>
          <c:order val="138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178.4999999999996</c:v>
              </c:pt>
              <c:pt idx="1">
                <c:v>169.875</c:v>
              </c:pt>
            </c:numLit>
          </c:xVal>
          <c:yVal>
            <c:numLit>
              <c:formatCode>General</c:formatCode>
              <c:ptCount val="2"/>
              <c:pt idx="0">
                <c:v>25.59218750000025</c:v>
              </c:pt>
              <c:pt idx="1">
                <c:v>29.787500000000151</c:v>
              </c:pt>
            </c:numLit>
          </c:yVal>
        </c:ser>
        <c:ser>
          <c:idx val="139"/>
          <c:order val="139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187.125</c:v>
              </c:pt>
              <c:pt idx="1">
                <c:v>178.4999999999996</c:v>
              </c:pt>
            </c:numLit>
          </c:xVal>
          <c:yVal>
            <c:numLit>
              <c:formatCode>General</c:formatCode>
              <c:ptCount val="2"/>
              <c:pt idx="0">
                <c:v>29.787500000000151</c:v>
              </c:pt>
              <c:pt idx="1">
                <c:v>25.59218750000025</c:v>
              </c:pt>
            </c:numLit>
          </c:yVal>
        </c:ser>
        <c:ser>
          <c:idx val="140"/>
          <c:order val="140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178.50000000000006</c:v>
              </c:pt>
              <c:pt idx="1">
                <c:v>169.87499999999997</c:v>
              </c:pt>
            </c:numLit>
          </c:xVal>
          <c:yVal>
            <c:numLit>
              <c:formatCode>General</c:formatCode>
              <c:ptCount val="2"/>
              <c:pt idx="0">
                <c:v>25.592187500000186</c:v>
              </c:pt>
              <c:pt idx="1">
                <c:v>24.193750000000023</c:v>
              </c:pt>
            </c:numLit>
          </c:yVal>
        </c:ser>
        <c:ser>
          <c:idx val="141"/>
          <c:order val="141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187.12499999999997</c:v>
              </c:pt>
              <c:pt idx="1">
                <c:v>178.50000000000006</c:v>
              </c:pt>
            </c:numLit>
          </c:xVal>
          <c:yVal>
            <c:numLit>
              <c:formatCode>General</c:formatCode>
              <c:ptCount val="2"/>
              <c:pt idx="0">
                <c:v>24.193749999999024</c:v>
              </c:pt>
              <c:pt idx="1">
                <c:v>25.592187500000186</c:v>
              </c:pt>
            </c:numLit>
          </c:yVal>
        </c:ser>
        <c:ser>
          <c:idx val="142"/>
          <c:order val="142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14.624999999999948</c:v>
              </c:pt>
              <c:pt idx="1">
                <c:v>23.249999999999972</c:v>
              </c:pt>
            </c:numLit>
          </c:xVal>
          <c:yVal>
            <c:numLit>
              <c:formatCode>General</c:formatCode>
              <c:ptCount val="2"/>
              <c:pt idx="0">
                <c:v>24.193750000000041</c:v>
              </c:pt>
              <c:pt idx="1">
                <c:v>18.600000000000041</c:v>
              </c:pt>
            </c:numLit>
          </c:yVal>
        </c:ser>
        <c:ser>
          <c:idx val="143"/>
          <c:order val="143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49.124999999999993</c:v>
              </c:pt>
              <c:pt idx="1">
                <c:v>57.749999999999993</c:v>
              </c:pt>
            </c:numLit>
          </c:xVal>
          <c:yVal>
            <c:numLit>
              <c:formatCode>General</c:formatCode>
              <c:ptCount val="2"/>
              <c:pt idx="0">
                <c:v>24.193750000000041</c:v>
              </c:pt>
              <c:pt idx="1">
                <c:v>18.600000000000041</c:v>
              </c:pt>
            </c:numLit>
          </c:yVal>
        </c:ser>
        <c:ser>
          <c:idx val="144"/>
          <c:order val="144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49.124999999999993</c:v>
              </c:pt>
              <c:pt idx="1">
                <c:v>40.499999999999993</c:v>
              </c:pt>
            </c:numLit>
          </c:xVal>
          <c:yVal>
            <c:numLit>
              <c:formatCode>General</c:formatCode>
              <c:ptCount val="2"/>
              <c:pt idx="0">
                <c:v>24.193750000000041</c:v>
              </c:pt>
              <c:pt idx="1">
                <c:v>18.600000000000041</c:v>
              </c:pt>
            </c:numLit>
          </c:yVal>
        </c:ser>
        <c:ser>
          <c:idx val="145"/>
          <c:order val="145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31.874999999999975</c:v>
              </c:pt>
              <c:pt idx="1">
                <c:v>40.499999999999993</c:v>
              </c:pt>
            </c:numLit>
          </c:xVal>
          <c:yVal>
            <c:numLit>
              <c:formatCode>General</c:formatCode>
              <c:ptCount val="2"/>
              <c:pt idx="0">
                <c:v>24.193750000000041</c:v>
              </c:pt>
              <c:pt idx="1">
                <c:v>18.600000000000041</c:v>
              </c:pt>
            </c:numLit>
          </c:yVal>
        </c:ser>
        <c:ser>
          <c:idx val="146"/>
          <c:order val="146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31.874999999999975</c:v>
              </c:pt>
              <c:pt idx="1">
                <c:v>23.249999999999972</c:v>
              </c:pt>
            </c:numLit>
          </c:xVal>
          <c:yVal>
            <c:numLit>
              <c:formatCode>General</c:formatCode>
              <c:ptCount val="2"/>
              <c:pt idx="0">
                <c:v>24.193750000000041</c:v>
              </c:pt>
              <c:pt idx="1">
                <c:v>18.600000000000041</c:v>
              </c:pt>
            </c:numLit>
          </c:yVal>
        </c:ser>
        <c:ser>
          <c:idx val="147"/>
          <c:order val="147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83.624999999999972</c:v>
              </c:pt>
              <c:pt idx="1">
                <c:v>92.249999999999986</c:v>
              </c:pt>
            </c:numLit>
          </c:xVal>
          <c:yVal>
            <c:numLit>
              <c:formatCode>General</c:formatCode>
              <c:ptCount val="2"/>
              <c:pt idx="0">
                <c:v>24.19375000000003</c:v>
              </c:pt>
              <c:pt idx="1">
                <c:v>18.60000000000003</c:v>
              </c:pt>
            </c:numLit>
          </c:yVal>
        </c:ser>
        <c:ser>
          <c:idx val="148"/>
          <c:order val="148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83.624999999999972</c:v>
              </c:pt>
              <c:pt idx="1">
                <c:v>75</c:v>
              </c:pt>
            </c:numLit>
          </c:xVal>
          <c:yVal>
            <c:numLit>
              <c:formatCode>General</c:formatCode>
              <c:ptCount val="2"/>
              <c:pt idx="0">
                <c:v>24.19375000000003</c:v>
              </c:pt>
              <c:pt idx="1">
                <c:v>18.60000000000003</c:v>
              </c:pt>
            </c:numLit>
          </c:yVal>
        </c:ser>
        <c:ser>
          <c:idx val="149"/>
          <c:order val="149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66.374999999999972</c:v>
              </c:pt>
              <c:pt idx="1">
                <c:v>75</c:v>
              </c:pt>
            </c:numLit>
          </c:xVal>
          <c:yVal>
            <c:numLit>
              <c:formatCode>General</c:formatCode>
              <c:ptCount val="2"/>
              <c:pt idx="0">
                <c:v>24.193750000000041</c:v>
              </c:pt>
              <c:pt idx="1">
                <c:v>18.60000000000003</c:v>
              </c:pt>
            </c:numLit>
          </c:yVal>
        </c:ser>
        <c:ser>
          <c:idx val="150"/>
          <c:order val="150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66.374999999999972</c:v>
              </c:pt>
              <c:pt idx="1">
                <c:v>57.749999999999993</c:v>
              </c:pt>
            </c:numLit>
          </c:xVal>
          <c:yVal>
            <c:numLit>
              <c:formatCode>General</c:formatCode>
              <c:ptCount val="2"/>
              <c:pt idx="0">
                <c:v>24.193750000000041</c:v>
              </c:pt>
              <c:pt idx="1">
                <c:v>18.600000000000041</c:v>
              </c:pt>
            </c:numLit>
          </c:yVal>
        </c:ser>
        <c:ser>
          <c:idx val="151"/>
          <c:order val="151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118.12499999999997</c:v>
              </c:pt>
              <c:pt idx="1">
                <c:v>126.75</c:v>
              </c:pt>
            </c:numLit>
          </c:xVal>
          <c:yVal>
            <c:numLit>
              <c:formatCode>General</c:formatCode>
              <c:ptCount val="2"/>
              <c:pt idx="0">
                <c:v>24.19375000000003</c:v>
              </c:pt>
              <c:pt idx="1">
                <c:v>18.60000000000003</c:v>
              </c:pt>
            </c:numLit>
          </c:yVal>
        </c:ser>
        <c:ser>
          <c:idx val="152"/>
          <c:order val="152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118.12499999999997</c:v>
              </c:pt>
              <c:pt idx="1">
                <c:v>109.49999999999999</c:v>
              </c:pt>
            </c:numLit>
          </c:xVal>
          <c:yVal>
            <c:numLit>
              <c:formatCode>General</c:formatCode>
              <c:ptCount val="2"/>
              <c:pt idx="0">
                <c:v>24.19375000000003</c:v>
              </c:pt>
              <c:pt idx="1">
                <c:v>18.60000000000003</c:v>
              </c:pt>
            </c:numLit>
          </c:yVal>
        </c:ser>
        <c:ser>
          <c:idx val="153"/>
          <c:order val="153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100.87499999999994</c:v>
              </c:pt>
              <c:pt idx="1">
                <c:v>109.49999999999999</c:v>
              </c:pt>
            </c:numLit>
          </c:xVal>
          <c:yVal>
            <c:numLit>
              <c:formatCode>General</c:formatCode>
              <c:ptCount val="2"/>
              <c:pt idx="0">
                <c:v>24.19375000000003</c:v>
              </c:pt>
              <c:pt idx="1">
                <c:v>18.60000000000003</c:v>
              </c:pt>
            </c:numLit>
          </c:yVal>
        </c:ser>
        <c:ser>
          <c:idx val="154"/>
          <c:order val="154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100.87499999999994</c:v>
              </c:pt>
              <c:pt idx="1">
                <c:v>92.249999999999986</c:v>
              </c:pt>
            </c:numLit>
          </c:xVal>
          <c:yVal>
            <c:numLit>
              <c:formatCode>General</c:formatCode>
              <c:ptCount val="2"/>
              <c:pt idx="0">
                <c:v>24.19375000000003</c:v>
              </c:pt>
              <c:pt idx="1">
                <c:v>18.60000000000003</c:v>
              </c:pt>
            </c:numLit>
          </c:yVal>
        </c:ser>
        <c:ser>
          <c:idx val="155"/>
          <c:order val="155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152.62499999999997</c:v>
              </c:pt>
              <c:pt idx="1">
                <c:v>161.24999999999989</c:v>
              </c:pt>
            </c:numLit>
          </c:xVal>
          <c:yVal>
            <c:numLit>
              <c:formatCode>General</c:formatCode>
              <c:ptCount val="2"/>
              <c:pt idx="0">
                <c:v>24.19375000000003</c:v>
              </c:pt>
              <c:pt idx="1">
                <c:v>18.60000000000003</c:v>
              </c:pt>
            </c:numLit>
          </c:yVal>
        </c:ser>
        <c:ser>
          <c:idx val="156"/>
          <c:order val="156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152.62499999999997</c:v>
              </c:pt>
              <c:pt idx="1">
                <c:v>143.99999999999997</c:v>
              </c:pt>
            </c:numLit>
          </c:xVal>
          <c:yVal>
            <c:numLit>
              <c:formatCode>General</c:formatCode>
              <c:ptCount val="2"/>
              <c:pt idx="0">
                <c:v>24.19375000000003</c:v>
              </c:pt>
              <c:pt idx="1">
                <c:v>18.60000000000003</c:v>
              </c:pt>
            </c:numLit>
          </c:yVal>
        </c:ser>
        <c:ser>
          <c:idx val="157"/>
          <c:order val="157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135.37499999999997</c:v>
              </c:pt>
              <c:pt idx="1">
                <c:v>143.99999999999997</c:v>
              </c:pt>
            </c:numLit>
          </c:xVal>
          <c:yVal>
            <c:numLit>
              <c:formatCode>General</c:formatCode>
              <c:ptCount val="2"/>
              <c:pt idx="0">
                <c:v>24.19375000000003</c:v>
              </c:pt>
              <c:pt idx="1">
                <c:v>18.60000000000003</c:v>
              </c:pt>
            </c:numLit>
          </c:yVal>
        </c:ser>
        <c:ser>
          <c:idx val="158"/>
          <c:order val="158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135.37499999999997</c:v>
              </c:pt>
              <c:pt idx="1">
                <c:v>126.75</c:v>
              </c:pt>
            </c:numLit>
          </c:xVal>
          <c:yVal>
            <c:numLit>
              <c:formatCode>General</c:formatCode>
              <c:ptCount val="2"/>
              <c:pt idx="0">
                <c:v>24.19375000000003</c:v>
              </c:pt>
              <c:pt idx="1">
                <c:v>18.60000000000003</c:v>
              </c:pt>
            </c:numLit>
          </c:yVal>
        </c:ser>
        <c:ser>
          <c:idx val="159"/>
          <c:order val="159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187.12499999999997</c:v>
              </c:pt>
              <c:pt idx="1">
                <c:v>195.74999999999989</c:v>
              </c:pt>
            </c:numLit>
          </c:xVal>
          <c:yVal>
            <c:numLit>
              <c:formatCode>General</c:formatCode>
              <c:ptCount val="2"/>
              <c:pt idx="0">
                <c:v>24.193750000000023</c:v>
              </c:pt>
              <c:pt idx="1">
                <c:v>18.600000000000023</c:v>
              </c:pt>
            </c:numLit>
          </c:yVal>
        </c:ser>
        <c:ser>
          <c:idx val="160"/>
          <c:order val="160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187.12499999999997</c:v>
              </c:pt>
              <c:pt idx="1">
                <c:v>178.49999999999997</c:v>
              </c:pt>
            </c:numLit>
          </c:xVal>
          <c:yVal>
            <c:numLit>
              <c:formatCode>General</c:formatCode>
              <c:ptCount val="2"/>
              <c:pt idx="0">
                <c:v>24.193750000000023</c:v>
              </c:pt>
              <c:pt idx="1">
                <c:v>18.600000000000023</c:v>
              </c:pt>
            </c:numLit>
          </c:yVal>
        </c:ser>
        <c:ser>
          <c:idx val="161"/>
          <c:order val="161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169.87499999999997</c:v>
              </c:pt>
              <c:pt idx="1">
                <c:v>178.49999999999997</c:v>
              </c:pt>
            </c:numLit>
          </c:xVal>
          <c:yVal>
            <c:numLit>
              <c:formatCode>General</c:formatCode>
              <c:ptCount val="2"/>
              <c:pt idx="0">
                <c:v>24.193750000000023</c:v>
              </c:pt>
              <c:pt idx="1">
                <c:v>18.600000000000023</c:v>
              </c:pt>
            </c:numLit>
          </c:yVal>
        </c:ser>
        <c:ser>
          <c:idx val="162"/>
          <c:order val="162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169.87499999999997</c:v>
              </c:pt>
              <c:pt idx="1">
                <c:v>161.24999999999989</c:v>
              </c:pt>
            </c:numLit>
          </c:xVal>
          <c:yVal>
            <c:numLit>
              <c:formatCode>General</c:formatCode>
              <c:ptCount val="2"/>
              <c:pt idx="0">
                <c:v>24.193750000000023</c:v>
              </c:pt>
              <c:pt idx="1">
                <c:v>18.60000000000003</c:v>
              </c:pt>
            </c:numLit>
          </c:yVal>
        </c:ser>
        <c:ser>
          <c:idx val="163"/>
          <c:order val="163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221.62499999999997</c:v>
              </c:pt>
              <c:pt idx="1">
                <c:v>230.25</c:v>
              </c:pt>
            </c:numLit>
          </c:xVal>
          <c:yVal>
            <c:numLit>
              <c:formatCode>General</c:formatCode>
              <c:ptCount val="2"/>
              <c:pt idx="0">
                <c:v>24.193750000000023</c:v>
              </c:pt>
              <c:pt idx="1">
                <c:v>18.600000000000023</c:v>
              </c:pt>
            </c:numLit>
          </c:yVal>
        </c:ser>
        <c:ser>
          <c:idx val="164"/>
          <c:order val="164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221.62499999999997</c:v>
              </c:pt>
              <c:pt idx="1">
                <c:v>212.99999999999997</c:v>
              </c:pt>
            </c:numLit>
          </c:xVal>
          <c:yVal>
            <c:numLit>
              <c:formatCode>General</c:formatCode>
              <c:ptCount val="2"/>
              <c:pt idx="0">
                <c:v>24.193750000000023</c:v>
              </c:pt>
              <c:pt idx="1">
                <c:v>18.600000000000023</c:v>
              </c:pt>
            </c:numLit>
          </c:yVal>
        </c:ser>
        <c:ser>
          <c:idx val="165"/>
          <c:order val="165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204.37499999999997</c:v>
              </c:pt>
              <c:pt idx="1">
                <c:v>212.99999999999997</c:v>
              </c:pt>
            </c:numLit>
          </c:xVal>
          <c:yVal>
            <c:numLit>
              <c:formatCode>General</c:formatCode>
              <c:ptCount val="2"/>
              <c:pt idx="0">
                <c:v>24.193750000000023</c:v>
              </c:pt>
              <c:pt idx="1">
                <c:v>18.600000000000023</c:v>
              </c:pt>
            </c:numLit>
          </c:yVal>
        </c:ser>
        <c:ser>
          <c:idx val="166"/>
          <c:order val="166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204.37499999999997</c:v>
              </c:pt>
              <c:pt idx="1">
                <c:v>195.74999999999989</c:v>
              </c:pt>
            </c:numLit>
          </c:xVal>
          <c:yVal>
            <c:numLit>
              <c:formatCode>General</c:formatCode>
              <c:ptCount val="2"/>
              <c:pt idx="0">
                <c:v>24.193750000000023</c:v>
              </c:pt>
              <c:pt idx="1">
                <c:v>18.600000000000023</c:v>
              </c:pt>
            </c:numLit>
          </c:yVal>
        </c:ser>
        <c:ser>
          <c:idx val="167"/>
          <c:order val="167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238.875</c:v>
              </c:pt>
              <c:pt idx="1">
                <c:v>230.25</c:v>
              </c:pt>
            </c:numLit>
          </c:xVal>
          <c:yVal>
            <c:numLit>
              <c:formatCode>General</c:formatCode>
              <c:ptCount val="2"/>
              <c:pt idx="0">
                <c:v>24.193750000000023</c:v>
              </c:pt>
              <c:pt idx="1">
                <c:v>18.600000000000023</c:v>
              </c:pt>
            </c:numLit>
          </c:yVal>
        </c:ser>
        <c:ser>
          <c:idx val="168"/>
          <c:order val="168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14.625000000000004</c:v>
              </c:pt>
              <c:pt idx="1">
                <c:v>23.250000000000032</c:v>
              </c:pt>
            </c:numLit>
          </c:xVal>
          <c:yVal>
            <c:numLit>
              <c:formatCode>General</c:formatCode>
              <c:ptCount val="2"/>
              <c:pt idx="0">
                <c:v>24.19375000000003</c:v>
              </c:pt>
              <c:pt idx="1">
                <c:v>18.60000000000003</c:v>
              </c:pt>
            </c:numLit>
          </c:yVal>
        </c:ser>
        <c:ser>
          <c:idx val="169"/>
          <c:order val="169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49.12500000000005</c:v>
              </c:pt>
              <c:pt idx="1">
                <c:v>57.750000000000028</c:v>
              </c:pt>
            </c:numLit>
          </c:xVal>
          <c:yVal>
            <c:numLit>
              <c:formatCode>General</c:formatCode>
              <c:ptCount val="2"/>
              <c:pt idx="0">
                <c:v>24.19375000000003</c:v>
              </c:pt>
              <c:pt idx="1">
                <c:v>18.60000000000003</c:v>
              </c:pt>
            </c:numLit>
          </c:yVal>
        </c:ser>
        <c:ser>
          <c:idx val="170"/>
          <c:order val="170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49.12500000000005</c:v>
              </c:pt>
              <c:pt idx="1">
                <c:v>40.500000000000028</c:v>
              </c:pt>
            </c:numLit>
          </c:xVal>
          <c:yVal>
            <c:numLit>
              <c:formatCode>General</c:formatCode>
              <c:ptCount val="2"/>
              <c:pt idx="0">
                <c:v>24.19375000000003</c:v>
              </c:pt>
              <c:pt idx="1">
                <c:v>18.60000000000003</c:v>
              </c:pt>
            </c:numLit>
          </c:yVal>
        </c:ser>
        <c:ser>
          <c:idx val="171"/>
          <c:order val="171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31.875000000000032</c:v>
              </c:pt>
              <c:pt idx="1">
                <c:v>40.500000000000028</c:v>
              </c:pt>
            </c:numLit>
          </c:xVal>
          <c:yVal>
            <c:numLit>
              <c:formatCode>General</c:formatCode>
              <c:ptCount val="2"/>
              <c:pt idx="0">
                <c:v>24.19375000000003</c:v>
              </c:pt>
              <c:pt idx="1">
                <c:v>18.60000000000003</c:v>
              </c:pt>
            </c:numLit>
          </c:yVal>
        </c:ser>
        <c:ser>
          <c:idx val="172"/>
          <c:order val="172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31.875000000000032</c:v>
              </c:pt>
              <c:pt idx="1">
                <c:v>23.250000000000032</c:v>
              </c:pt>
            </c:numLit>
          </c:xVal>
          <c:yVal>
            <c:numLit>
              <c:formatCode>General</c:formatCode>
              <c:ptCount val="2"/>
              <c:pt idx="0">
                <c:v>24.19375000000003</c:v>
              </c:pt>
              <c:pt idx="1">
                <c:v>18.60000000000003</c:v>
              </c:pt>
            </c:numLit>
          </c:yVal>
        </c:ser>
        <c:ser>
          <c:idx val="173"/>
          <c:order val="173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83.624999999999986</c:v>
              </c:pt>
              <c:pt idx="1">
                <c:v>92.250000000000014</c:v>
              </c:pt>
            </c:numLit>
          </c:xVal>
          <c:yVal>
            <c:numLit>
              <c:formatCode>General</c:formatCode>
              <c:ptCount val="2"/>
              <c:pt idx="0">
                <c:v>24.193750000000023</c:v>
              </c:pt>
              <c:pt idx="1">
                <c:v>18.600000000000023</c:v>
              </c:pt>
            </c:numLit>
          </c:yVal>
        </c:ser>
        <c:ser>
          <c:idx val="174"/>
          <c:order val="174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83.624999999999986</c:v>
              </c:pt>
              <c:pt idx="1">
                <c:v>75.000000000000028</c:v>
              </c:pt>
            </c:numLit>
          </c:xVal>
          <c:yVal>
            <c:numLit>
              <c:formatCode>General</c:formatCode>
              <c:ptCount val="2"/>
              <c:pt idx="0">
                <c:v>24.193750000000023</c:v>
              </c:pt>
              <c:pt idx="1">
                <c:v>18.600000000000023</c:v>
              </c:pt>
            </c:numLit>
          </c:yVal>
        </c:ser>
        <c:ser>
          <c:idx val="175"/>
          <c:order val="175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66.374999999999986</c:v>
              </c:pt>
              <c:pt idx="1">
                <c:v>75.000000000000028</c:v>
              </c:pt>
            </c:numLit>
          </c:xVal>
          <c:yVal>
            <c:numLit>
              <c:formatCode>General</c:formatCode>
              <c:ptCount val="2"/>
              <c:pt idx="0">
                <c:v>24.19375000000003</c:v>
              </c:pt>
              <c:pt idx="1">
                <c:v>18.600000000000023</c:v>
              </c:pt>
            </c:numLit>
          </c:yVal>
        </c:ser>
        <c:ser>
          <c:idx val="176"/>
          <c:order val="176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66.374999999999986</c:v>
              </c:pt>
              <c:pt idx="1">
                <c:v>57.750000000000028</c:v>
              </c:pt>
            </c:numLit>
          </c:xVal>
          <c:yVal>
            <c:numLit>
              <c:formatCode>General</c:formatCode>
              <c:ptCount val="2"/>
              <c:pt idx="0">
                <c:v>24.19375000000003</c:v>
              </c:pt>
              <c:pt idx="1">
                <c:v>18.60000000000003</c:v>
              </c:pt>
            </c:numLit>
          </c:yVal>
        </c:ser>
        <c:ser>
          <c:idx val="177"/>
          <c:order val="177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118.12499999999999</c:v>
              </c:pt>
              <c:pt idx="1">
                <c:v>126.75000000000003</c:v>
              </c:pt>
            </c:numLit>
          </c:xVal>
          <c:yVal>
            <c:numLit>
              <c:formatCode>General</c:formatCode>
              <c:ptCount val="2"/>
              <c:pt idx="0">
                <c:v>24.193750000000023</c:v>
              </c:pt>
              <c:pt idx="1">
                <c:v>18.600000000000023</c:v>
              </c:pt>
            </c:numLit>
          </c:yVal>
        </c:ser>
        <c:ser>
          <c:idx val="178"/>
          <c:order val="178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118.12499999999999</c:v>
              </c:pt>
              <c:pt idx="1">
                <c:v>109.50000000000001</c:v>
              </c:pt>
            </c:numLit>
          </c:xVal>
          <c:yVal>
            <c:numLit>
              <c:formatCode>General</c:formatCode>
              <c:ptCount val="2"/>
              <c:pt idx="0">
                <c:v>24.193750000000023</c:v>
              </c:pt>
              <c:pt idx="1">
                <c:v>18.600000000000023</c:v>
              </c:pt>
            </c:numLit>
          </c:yVal>
        </c:ser>
        <c:ser>
          <c:idx val="179"/>
          <c:order val="179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100.87499999999999</c:v>
              </c:pt>
              <c:pt idx="1">
                <c:v>109.50000000000001</c:v>
              </c:pt>
            </c:numLit>
          </c:xVal>
          <c:yVal>
            <c:numLit>
              <c:formatCode>General</c:formatCode>
              <c:ptCount val="2"/>
              <c:pt idx="0">
                <c:v>24.193750000000023</c:v>
              </c:pt>
              <c:pt idx="1">
                <c:v>18.600000000000023</c:v>
              </c:pt>
            </c:numLit>
          </c:yVal>
        </c:ser>
        <c:ser>
          <c:idx val="180"/>
          <c:order val="180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100.87499999999999</c:v>
              </c:pt>
              <c:pt idx="1">
                <c:v>92.250000000000014</c:v>
              </c:pt>
            </c:numLit>
          </c:xVal>
          <c:yVal>
            <c:numLit>
              <c:formatCode>General</c:formatCode>
              <c:ptCount val="2"/>
              <c:pt idx="0">
                <c:v>24.193750000000023</c:v>
              </c:pt>
              <c:pt idx="1">
                <c:v>18.600000000000023</c:v>
              </c:pt>
            </c:numLit>
          </c:yVal>
        </c:ser>
        <c:ser>
          <c:idx val="181"/>
          <c:order val="181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152.62500000000003</c:v>
              </c:pt>
              <c:pt idx="1">
                <c:v>161.25000000000003</c:v>
              </c:pt>
            </c:numLit>
          </c:xVal>
          <c:yVal>
            <c:numLit>
              <c:formatCode>General</c:formatCode>
              <c:ptCount val="2"/>
              <c:pt idx="0">
                <c:v>24.193750000000023</c:v>
              </c:pt>
              <c:pt idx="1">
                <c:v>18.600000000000023</c:v>
              </c:pt>
            </c:numLit>
          </c:yVal>
        </c:ser>
        <c:ser>
          <c:idx val="182"/>
          <c:order val="182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152.62500000000003</c:v>
              </c:pt>
              <c:pt idx="1">
                <c:v>144.00000000000003</c:v>
              </c:pt>
            </c:numLit>
          </c:xVal>
          <c:yVal>
            <c:numLit>
              <c:formatCode>General</c:formatCode>
              <c:ptCount val="2"/>
              <c:pt idx="0">
                <c:v>24.193750000000023</c:v>
              </c:pt>
              <c:pt idx="1">
                <c:v>18.600000000000023</c:v>
              </c:pt>
            </c:numLit>
          </c:yVal>
        </c:ser>
        <c:ser>
          <c:idx val="183"/>
          <c:order val="183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135.37500000000003</c:v>
              </c:pt>
              <c:pt idx="1">
                <c:v>144.00000000000003</c:v>
              </c:pt>
            </c:numLit>
          </c:xVal>
          <c:yVal>
            <c:numLit>
              <c:formatCode>General</c:formatCode>
              <c:ptCount val="2"/>
              <c:pt idx="0">
                <c:v>24.193750000000023</c:v>
              </c:pt>
              <c:pt idx="1">
                <c:v>18.600000000000023</c:v>
              </c:pt>
            </c:numLit>
          </c:yVal>
        </c:ser>
        <c:ser>
          <c:idx val="184"/>
          <c:order val="184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135.37500000000003</c:v>
              </c:pt>
              <c:pt idx="1">
                <c:v>126.75000000000003</c:v>
              </c:pt>
            </c:numLit>
          </c:xVal>
          <c:yVal>
            <c:numLit>
              <c:formatCode>General</c:formatCode>
              <c:ptCount val="2"/>
              <c:pt idx="0">
                <c:v>24.193750000000023</c:v>
              </c:pt>
              <c:pt idx="1">
                <c:v>18.600000000000023</c:v>
              </c:pt>
            </c:numLit>
          </c:yVal>
        </c:ser>
        <c:ser>
          <c:idx val="185"/>
          <c:order val="185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187.12500000000003</c:v>
              </c:pt>
              <c:pt idx="1">
                <c:v>195.75000000000003</c:v>
              </c:pt>
            </c:numLit>
          </c:xVal>
          <c:yVal>
            <c:numLit>
              <c:formatCode>General</c:formatCode>
              <c:ptCount val="2"/>
              <c:pt idx="0">
                <c:v>24.19374999999998</c:v>
              </c:pt>
              <c:pt idx="1">
                <c:v>18.599999999999987</c:v>
              </c:pt>
            </c:numLit>
          </c:yVal>
        </c:ser>
        <c:ser>
          <c:idx val="186"/>
          <c:order val="186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187.12500000000003</c:v>
              </c:pt>
              <c:pt idx="1">
                <c:v>178.50000000000003</c:v>
              </c:pt>
            </c:numLit>
          </c:xVal>
          <c:yVal>
            <c:numLit>
              <c:formatCode>General</c:formatCode>
              <c:ptCount val="2"/>
              <c:pt idx="0">
                <c:v>24.19374999999998</c:v>
              </c:pt>
              <c:pt idx="1">
                <c:v>18.599999999999987</c:v>
              </c:pt>
            </c:numLit>
          </c:yVal>
        </c:ser>
        <c:ser>
          <c:idx val="187"/>
          <c:order val="187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169.87500000000003</c:v>
              </c:pt>
              <c:pt idx="1">
                <c:v>178.50000000000003</c:v>
              </c:pt>
            </c:numLit>
          </c:xVal>
          <c:yVal>
            <c:numLit>
              <c:formatCode>General</c:formatCode>
              <c:ptCount val="2"/>
              <c:pt idx="0">
                <c:v>24.19374999999998</c:v>
              </c:pt>
              <c:pt idx="1">
                <c:v>18.599999999999987</c:v>
              </c:pt>
            </c:numLit>
          </c:yVal>
        </c:ser>
        <c:ser>
          <c:idx val="188"/>
          <c:order val="188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169.87500000000003</c:v>
              </c:pt>
              <c:pt idx="1">
                <c:v>161.25000000000003</c:v>
              </c:pt>
            </c:numLit>
          </c:xVal>
          <c:yVal>
            <c:numLit>
              <c:formatCode>General</c:formatCode>
              <c:ptCount val="2"/>
              <c:pt idx="0">
                <c:v>24.19374999999998</c:v>
              </c:pt>
              <c:pt idx="1">
                <c:v>18.600000000000023</c:v>
              </c:pt>
            </c:numLit>
          </c:yVal>
        </c:ser>
        <c:ser>
          <c:idx val="189"/>
          <c:order val="189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221.62500000000003</c:v>
              </c:pt>
              <c:pt idx="1">
                <c:v>230.25000000000006</c:v>
              </c:pt>
            </c:numLit>
          </c:xVal>
          <c:yVal>
            <c:numLit>
              <c:formatCode>General</c:formatCode>
              <c:ptCount val="2"/>
              <c:pt idx="0">
                <c:v>24.19374999999998</c:v>
              </c:pt>
              <c:pt idx="1">
                <c:v>18.599999999999987</c:v>
              </c:pt>
            </c:numLit>
          </c:yVal>
        </c:ser>
        <c:ser>
          <c:idx val="190"/>
          <c:order val="190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221.62500000000003</c:v>
              </c:pt>
              <c:pt idx="1">
                <c:v>213.00000000000003</c:v>
              </c:pt>
            </c:numLit>
          </c:xVal>
          <c:yVal>
            <c:numLit>
              <c:formatCode>General</c:formatCode>
              <c:ptCount val="2"/>
              <c:pt idx="0">
                <c:v>24.19374999999998</c:v>
              </c:pt>
              <c:pt idx="1">
                <c:v>18.599999999999987</c:v>
              </c:pt>
            </c:numLit>
          </c:yVal>
        </c:ser>
        <c:ser>
          <c:idx val="191"/>
          <c:order val="191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204.37500000000003</c:v>
              </c:pt>
              <c:pt idx="1">
                <c:v>213.00000000000003</c:v>
              </c:pt>
            </c:numLit>
          </c:xVal>
          <c:yVal>
            <c:numLit>
              <c:formatCode>General</c:formatCode>
              <c:ptCount val="2"/>
              <c:pt idx="0">
                <c:v>24.19374999999998</c:v>
              </c:pt>
              <c:pt idx="1">
                <c:v>18.599999999999987</c:v>
              </c:pt>
            </c:numLit>
          </c:yVal>
        </c:ser>
        <c:ser>
          <c:idx val="192"/>
          <c:order val="192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204.37500000000003</c:v>
              </c:pt>
              <c:pt idx="1">
                <c:v>195.75000000000003</c:v>
              </c:pt>
            </c:numLit>
          </c:xVal>
          <c:yVal>
            <c:numLit>
              <c:formatCode>General</c:formatCode>
              <c:ptCount val="2"/>
              <c:pt idx="0">
                <c:v>24.19374999999998</c:v>
              </c:pt>
              <c:pt idx="1">
                <c:v>18.599999999999987</c:v>
              </c:pt>
            </c:numLit>
          </c:yVal>
        </c:ser>
        <c:ser>
          <c:idx val="193"/>
          <c:order val="193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238.87500000000006</c:v>
              </c:pt>
              <c:pt idx="1">
                <c:v>230.25000000000006</c:v>
              </c:pt>
            </c:numLit>
          </c:xVal>
          <c:yVal>
            <c:numLit>
              <c:formatCode>General</c:formatCode>
              <c:ptCount val="2"/>
              <c:pt idx="0">
                <c:v>24.19374999999998</c:v>
              </c:pt>
              <c:pt idx="1">
                <c:v>18.599999999999987</c:v>
              </c:pt>
            </c:numLit>
          </c:yVal>
        </c:ser>
        <c:ser>
          <c:idx val="194"/>
          <c:order val="194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5.9999999999999432</c:v>
              </c:pt>
              <c:pt idx="1">
                <c:v>40.499999999999993</c:v>
              </c:pt>
            </c:numLit>
          </c:xVal>
          <c:yVal>
            <c:numLit>
              <c:formatCode>General</c:formatCode>
              <c:ptCount val="2"/>
              <c:pt idx="0">
                <c:v>29.78750000000003</c:v>
              </c:pt>
              <c:pt idx="1">
                <c:v>29.78750000000003</c:v>
              </c:pt>
            </c:numLit>
          </c:yVal>
        </c:ser>
        <c:ser>
          <c:idx val="195"/>
          <c:order val="195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40.499999999999993</c:v>
              </c:pt>
              <c:pt idx="1">
                <c:v>75</c:v>
              </c:pt>
            </c:numLit>
          </c:xVal>
          <c:yVal>
            <c:numLit>
              <c:formatCode>General</c:formatCode>
              <c:ptCount val="2"/>
              <c:pt idx="0">
                <c:v>29.78750000000003</c:v>
              </c:pt>
              <c:pt idx="1">
                <c:v>29.787500000000026</c:v>
              </c:pt>
            </c:numLit>
          </c:yVal>
        </c:ser>
        <c:ser>
          <c:idx val="196"/>
          <c:order val="196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75</c:v>
              </c:pt>
              <c:pt idx="1">
                <c:v>109.49999999999999</c:v>
              </c:pt>
            </c:numLit>
          </c:xVal>
          <c:yVal>
            <c:numLit>
              <c:formatCode>General</c:formatCode>
              <c:ptCount val="2"/>
              <c:pt idx="0">
                <c:v>29.787500000000026</c:v>
              </c:pt>
              <c:pt idx="1">
                <c:v>29.787500000000026</c:v>
              </c:pt>
            </c:numLit>
          </c:yVal>
        </c:ser>
        <c:ser>
          <c:idx val="197"/>
          <c:order val="197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109.49999999999999</c:v>
              </c:pt>
              <c:pt idx="1">
                <c:v>143.99999999999997</c:v>
              </c:pt>
            </c:numLit>
          </c:xVal>
          <c:yVal>
            <c:numLit>
              <c:formatCode>General</c:formatCode>
              <c:ptCount val="2"/>
              <c:pt idx="0">
                <c:v>29.787500000000026</c:v>
              </c:pt>
              <c:pt idx="1">
                <c:v>29.787500000000026</c:v>
              </c:pt>
            </c:numLit>
          </c:yVal>
        </c:ser>
        <c:ser>
          <c:idx val="198"/>
          <c:order val="198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143.99999999999997</c:v>
              </c:pt>
              <c:pt idx="1">
                <c:v>178.49999999999997</c:v>
              </c:pt>
            </c:numLit>
          </c:xVal>
          <c:yVal>
            <c:numLit>
              <c:formatCode>General</c:formatCode>
              <c:ptCount val="2"/>
              <c:pt idx="0">
                <c:v>29.787500000000026</c:v>
              </c:pt>
              <c:pt idx="1">
                <c:v>29.787500000000012</c:v>
              </c:pt>
            </c:numLit>
          </c:yVal>
        </c:ser>
        <c:ser>
          <c:idx val="199"/>
          <c:order val="199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178.49999999999997</c:v>
              </c:pt>
              <c:pt idx="1">
                <c:v>212.99999999999997</c:v>
              </c:pt>
            </c:numLit>
          </c:xVal>
          <c:yVal>
            <c:numLit>
              <c:formatCode>General</c:formatCode>
              <c:ptCount val="2"/>
              <c:pt idx="0">
                <c:v>29.787500000000012</c:v>
              </c:pt>
              <c:pt idx="1">
                <c:v>29.787500000000012</c:v>
              </c:pt>
            </c:numLit>
          </c:yVal>
        </c:ser>
        <c:ser>
          <c:idx val="200"/>
          <c:order val="200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212.99999999999997</c:v>
              </c:pt>
              <c:pt idx="1">
                <c:v>247.5</c:v>
              </c:pt>
            </c:numLit>
          </c:xVal>
          <c:yVal>
            <c:numLit>
              <c:formatCode>General</c:formatCode>
              <c:ptCount val="2"/>
              <c:pt idx="0">
                <c:v>29.787500000000012</c:v>
              </c:pt>
              <c:pt idx="1">
                <c:v>29.787500000000012</c:v>
              </c:pt>
            </c:numLit>
          </c:yVal>
        </c:ser>
        <c:ser>
          <c:idx val="201"/>
          <c:order val="201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6.0000000000000036</c:v>
              </c:pt>
              <c:pt idx="1">
                <c:v>40.500000000000028</c:v>
              </c:pt>
            </c:numLit>
          </c:xVal>
          <c:yVal>
            <c:numLit>
              <c:formatCode>General</c:formatCode>
              <c:ptCount val="2"/>
              <c:pt idx="0">
                <c:v>29.787500000000026</c:v>
              </c:pt>
              <c:pt idx="1">
                <c:v>29.787500000000026</c:v>
              </c:pt>
            </c:numLit>
          </c:yVal>
        </c:ser>
        <c:ser>
          <c:idx val="202"/>
          <c:order val="202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40.500000000000028</c:v>
              </c:pt>
              <c:pt idx="1">
                <c:v>75.000000000000028</c:v>
              </c:pt>
            </c:numLit>
          </c:xVal>
          <c:yVal>
            <c:numLit>
              <c:formatCode>General</c:formatCode>
              <c:ptCount val="2"/>
              <c:pt idx="0">
                <c:v>29.787500000000026</c:v>
              </c:pt>
              <c:pt idx="1">
                <c:v>29.787500000000012</c:v>
              </c:pt>
            </c:numLit>
          </c:yVal>
        </c:ser>
        <c:ser>
          <c:idx val="203"/>
          <c:order val="203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75.000000000000028</c:v>
              </c:pt>
              <c:pt idx="1">
                <c:v>109.50000000000001</c:v>
              </c:pt>
            </c:numLit>
          </c:xVal>
          <c:yVal>
            <c:numLit>
              <c:formatCode>General</c:formatCode>
              <c:ptCount val="2"/>
              <c:pt idx="0">
                <c:v>29.787500000000012</c:v>
              </c:pt>
              <c:pt idx="1">
                <c:v>29.787500000000012</c:v>
              </c:pt>
            </c:numLit>
          </c:yVal>
        </c:ser>
        <c:ser>
          <c:idx val="204"/>
          <c:order val="204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109.50000000000001</c:v>
              </c:pt>
              <c:pt idx="1">
                <c:v>144.00000000000003</c:v>
              </c:pt>
            </c:numLit>
          </c:xVal>
          <c:yVal>
            <c:numLit>
              <c:formatCode>General</c:formatCode>
              <c:ptCount val="2"/>
              <c:pt idx="0">
                <c:v>29.787500000000012</c:v>
              </c:pt>
              <c:pt idx="1">
                <c:v>29.787500000000012</c:v>
              </c:pt>
            </c:numLit>
          </c:yVal>
        </c:ser>
        <c:ser>
          <c:idx val="205"/>
          <c:order val="205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144.00000000000003</c:v>
              </c:pt>
              <c:pt idx="1">
                <c:v>178.50000000000003</c:v>
              </c:pt>
            </c:numLit>
          </c:xVal>
          <c:yVal>
            <c:numLit>
              <c:formatCode>General</c:formatCode>
              <c:ptCount val="2"/>
              <c:pt idx="0">
                <c:v>29.787500000000012</c:v>
              </c:pt>
              <c:pt idx="1">
                <c:v>29.78749999999998</c:v>
              </c:pt>
            </c:numLit>
          </c:yVal>
        </c:ser>
        <c:ser>
          <c:idx val="206"/>
          <c:order val="206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178.50000000000003</c:v>
              </c:pt>
              <c:pt idx="1">
                <c:v>213.00000000000003</c:v>
              </c:pt>
            </c:numLit>
          </c:xVal>
          <c:yVal>
            <c:numLit>
              <c:formatCode>General</c:formatCode>
              <c:ptCount val="2"/>
              <c:pt idx="0">
                <c:v>29.78749999999998</c:v>
              </c:pt>
              <c:pt idx="1">
                <c:v>29.78749999999998</c:v>
              </c:pt>
            </c:numLit>
          </c:yVal>
        </c:ser>
        <c:ser>
          <c:idx val="207"/>
          <c:order val="207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213.00000000000003</c:v>
              </c:pt>
              <c:pt idx="1">
                <c:v>247.50000000000006</c:v>
              </c:pt>
            </c:numLit>
          </c:xVal>
          <c:yVal>
            <c:numLit>
              <c:formatCode>General</c:formatCode>
              <c:ptCount val="2"/>
              <c:pt idx="0">
                <c:v>29.78749999999998</c:v>
              </c:pt>
              <c:pt idx="1">
                <c:v>29.78749999999998</c:v>
              </c:pt>
            </c:numLit>
          </c:yVal>
        </c:ser>
        <c:ser>
          <c:idx val="208"/>
          <c:order val="208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14.624999999999948</c:v>
              </c:pt>
              <c:pt idx="1">
                <c:v>23.249999999999972</c:v>
              </c:pt>
            </c:numLit>
          </c:xVal>
          <c:yVal>
            <c:numLit>
              <c:formatCode>General</c:formatCode>
              <c:ptCount val="2"/>
              <c:pt idx="0">
                <c:v>24.193750000000041</c:v>
              </c:pt>
              <c:pt idx="1">
                <c:v>29.78750000000003</c:v>
              </c:pt>
            </c:numLit>
          </c:yVal>
        </c:ser>
        <c:ser>
          <c:idx val="209"/>
          <c:order val="209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5.9999999999999432</c:v>
              </c:pt>
              <c:pt idx="1">
                <c:v>14.624999999999948</c:v>
              </c:pt>
            </c:numLit>
          </c:xVal>
          <c:yVal>
            <c:numLit>
              <c:formatCode>General</c:formatCode>
              <c:ptCount val="2"/>
              <c:pt idx="0">
                <c:v>29.78750000000003</c:v>
              </c:pt>
              <c:pt idx="1">
                <c:v>24.193750000000041</c:v>
              </c:pt>
            </c:numLit>
          </c:yVal>
        </c:ser>
        <c:ser>
          <c:idx val="210"/>
          <c:order val="210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49.124999999999993</c:v>
              </c:pt>
              <c:pt idx="1">
                <c:v>57.749999999999993</c:v>
              </c:pt>
            </c:numLit>
          </c:xVal>
          <c:yVal>
            <c:numLit>
              <c:formatCode>General</c:formatCode>
              <c:ptCount val="2"/>
              <c:pt idx="0">
                <c:v>24.193750000000041</c:v>
              </c:pt>
              <c:pt idx="1">
                <c:v>29.78750000000003</c:v>
              </c:pt>
            </c:numLit>
          </c:yVal>
        </c:ser>
        <c:ser>
          <c:idx val="211"/>
          <c:order val="211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40.499999999999993</c:v>
              </c:pt>
              <c:pt idx="1">
                <c:v>49.124999999999993</c:v>
              </c:pt>
            </c:numLit>
          </c:xVal>
          <c:yVal>
            <c:numLit>
              <c:formatCode>General</c:formatCode>
              <c:ptCount val="2"/>
              <c:pt idx="0">
                <c:v>29.78750000000003</c:v>
              </c:pt>
              <c:pt idx="1">
                <c:v>24.193750000000041</c:v>
              </c:pt>
            </c:numLit>
          </c:yVal>
        </c:ser>
        <c:ser>
          <c:idx val="212"/>
          <c:order val="212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31.874999999999975</c:v>
              </c:pt>
              <c:pt idx="1">
                <c:v>40.499999999999993</c:v>
              </c:pt>
            </c:numLit>
          </c:xVal>
          <c:yVal>
            <c:numLit>
              <c:formatCode>General</c:formatCode>
              <c:ptCount val="2"/>
              <c:pt idx="0">
                <c:v>24.193750000000041</c:v>
              </c:pt>
              <c:pt idx="1">
                <c:v>29.78750000000003</c:v>
              </c:pt>
            </c:numLit>
          </c:yVal>
        </c:ser>
        <c:ser>
          <c:idx val="213"/>
          <c:order val="213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23.249999999999972</c:v>
              </c:pt>
              <c:pt idx="1">
                <c:v>31.874999999999975</c:v>
              </c:pt>
            </c:numLit>
          </c:xVal>
          <c:yVal>
            <c:numLit>
              <c:formatCode>General</c:formatCode>
              <c:ptCount val="2"/>
              <c:pt idx="0">
                <c:v>29.78750000000003</c:v>
              </c:pt>
              <c:pt idx="1">
                <c:v>24.193750000000041</c:v>
              </c:pt>
            </c:numLit>
          </c:yVal>
        </c:ser>
        <c:ser>
          <c:idx val="214"/>
          <c:order val="214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83.624999999999972</c:v>
              </c:pt>
              <c:pt idx="1">
                <c:v>92.249999999999986</c:v>
              </c:pt>
            </c:numLit>
          </c:xVal>
          <c:yVal>
            <c:numLit>
              <c:formatCode>General</c:formatCode>
              <c:ptCount val="2"/>
              <c:pt idx="0">
                <c:v>24.19375000000003</c:v>
              </c:pt>
              <c:pt idx="1">
                <c:v>29.787500000000026</c:v>
              </c:pt>
            </c:numLit>
          </c:yVal>
        </c:ser>
        <c:ser>
          <c:idx val="215"/>
          <c:order val="215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75</c:v>
              </c:pt>
              <c:pt idx="1">
                <c:v>83.624999999999972</c:v>
              </c:pt>
            </c:numLit>
          </c:xVal>
          <c:yVal>
            <c:numLit>
              <c:formatCode>General</c:formatCode>
              <c:ptCount val="2"/>
              <c:pt idx="0">
                <c:v>29.787500000000026</c:v>
              </c:pt>
              <c:pt idx="1">
                <c:v>24.19375000000003</c:v>
              </c:pt>
            </c:numLit>
          </c:yVal>
        </c:ser>
        <c:ser>
          <c:idx val="216"/>
          <c:order val="216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66.374999999999972</c:v>
              </c:pt>
              <c:pt idx="1">
                <c:v>75</c:v>
              </c:pt>
            </c:numLit>
          </c:xVal>
          <c:yVal>
            <c:numLit>
              <c:formatCode>General</c:formatCode>
              <c:ptCount val="2"/>
              <c:pt idx="0">
                <c:v>24.193750000000041</c:v>
              </c:pt>
              <c:pt idx="1">
                <c:v>29.787500000000026</c:v>
              </c:pt>
            </c:numLit>
          </c:yVal>
        </c:ser>
        <c:ser>
          <c:idx val="217"/>
          <c:order val="217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57.749999999999993</c:v>
              </c:pt>
              <c:pt idx="1">
                <c:v>66.374999999999972</c:v>
              </c:pt>
            </c:numLit>
          </c:xVal>
          <c:yVal>
            <c:numLit>
              <c:formatCode>General</c:formatCode>
              <c:ptCount val="2"/>
              <c:pt idx="0">
                <c:v>29.78750000000003</c:v>
              </c:pt>
              <c:pt idx="1">
                <c:v>24.193750000000041</c:v>
              </c:pt>
            </c:numLit>
          </c:yVal>
        </c:ser>
        <c:ser>
          <c:idx val="218"/>
          <c:order val="218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118.12499999999997</c:v>
              </c:pt>
              <c:pt idx="1">
                <c:v>126.75</c:v>
              </c:pt>
            </c:numLit>
          </c:xVal>
          <c:yVal>
            <c:numLit>
              <c:formatCode>General</c:formatCode>
              <c:ptCount val="2"/>
              <c:pt idx="0">
                <c:v>24.19375000000003</c:v>
              </c:pt>
              <c:pt idx="1">
                <c:v>29.787500000000026</c:v>
              </c:pt>
            </c:numLit>
          </c:yVal>
        </c:ser>
        <c:ser>
          <c:idx val="219"/>
          <c:order val="219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109.49999999999999</c:v>
              </c:pt>
              <c:pt idx="1">
                <c:v>118.12499999999997</c:v>
              </c:pt>
            </c:numLit>
          </c:xVal>
          <c:yVal>
            <c:numLit>
              <c:formatCode>General</c:formatCode>
              <c:ptCount val="2"/>
              <c:pt idx="0">
                <c:v>29.787500000000026</c:v>
              </c:pt>
              <c:pt idx="1">
                <c:v>24.19375000000003</c:v>
              </c:pt>
            </c:numLit>
          </c:yVal>
        </c:ser>
        <c:ser>
          <c:idx val="220"/>
          <c:order val="220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100.87499999999994</c:v>
              </c:pt>
              <c:pt idx="1">
                <c:v>109.49999999999999</c:v>
              </c:pt>
            </c:numLit>
          </c:xVal>
          <c:yVal>
            <c:numLit>
              <c:formatCode>General</c:formatCode>
              <c:ptCount val="2"/>
              <c:pt idx="0">
                <c:v>24.19375000000003</c:v>
              </c:pt>
              <c:pt idx="1">
                <c:v>29.787500000000026</c:v>
              </c:pt>
            </c:numLit>
          </c:yVal>
        </c:ser>
        <c:ser>
          <c:idx val="221"/>
          <c:order val="221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92.249999999999986</c:v>
              </c:pt>
              <c:pt idx="1">
                <c:v>100.87499999999994</c:v>
              </c:pt>
            </c:numLit>
          </c:xVal>
          <c:yVal>
            <c:numLit>
              <c:formatCode>General</c:formatCode>
              <c:ptCount val="2"/>
              <c:pt idx="0">
                <c:v>29.787500000000026</c:v>
              </c:pt>
              <c:pt idx="1">
                <c:v>24.19375000000003</c:v>
              </c:pt>
            </c:numLit>
          </c:yVal>
        </c:ser>
        <c:ser>
          <c:idx val="222"/>
          <c:order val="222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152.62499999999997</c:v>
              </c:pt>
              <c:pt idx="1">
                <c:v>161.24999999999989</c:v>
              </c:pt>
            </c:numLit>
          </c:xVal>
          <c:yVal>
            <c:numLit>
              <c:formatCode>General</c:formatCode>
              <c:ptCount val="2"/>
              <c:pt idx="0">
                <c:v>24.19375000000003</c:v>
              </c:pt>
              <c:pt idx="1">
                <c:v>29.787500000000026</c:v>
              </c:pt>
            </c:numLit>
          </c:yVal>
        </c:ser>
        <c:ser>
          <c:idx val="223"/>
          <c:order val="223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143.99999999999997</c:v>
              </c:pt>
              <c:pt idx="1">
                <c:v>152.62499999999997</c:v>
              </c:pt>
            </c:numLit>
          </c:xVal>
          <c:yVal>
            <c:numLit>
              <c:formatCode>General</c:formatCode>
              <c:ptCount val="2"/>
              <c:pt idx="0">
                <c:v>29.787500000000026</c:v>
              </c:pt>
              <c:pt idx="1">
                <c:v>24.19375000000003</c:v>
              </c:pt>
            </c:numLit>
          </c:yVal>
        </c:ser>
        <c:ser>
          <c:idx val="224"/>
          <c:order val="224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135.37499999999997</c:v>
              </c:pt>
              <c:pt idx="1">
                <c:v>143.99999999999997</c:v>
              </c:pt>
            </c:numLit>
          </c:xVal>
          <c:yVal>
            <c:numLit>
              <c:formatCode>General</c:formatCode>
              <c:ptCount val="2"/>
              <c:pt idx="0">
                <c:v>24.19375000000003</c:v>
              </c:pt>
              <c:pt idx="1">
                <c:v>29.787500000000026</c:v>
              </c:pt>
            </c:numLit>
          </c:yVal>
        </c:ser>
        <c:ser>
          <c:idx val="225"/>
          <c:order val="225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126.75</c:v>
              </c:pt>
              <c:pt idx="1">
                <c:v>135.37499999999997</c:v>
              </c:pt>
            </c:numLit>
          </c:xVal>
          <c:yVal>
            <c:numLit>
              <c:formatCode>General</c:formatCode>
              <c:ptCount val="2"/>
              <c:pt idx="0">
                <c:v>29.787500000000026</c:v>
              </c:pt>
              <c:pt idx="1">
                <c:v>24.19375000000003</c:v>
              </c:pt>
            </c:numLit>
          </c:yVal>
        </c:ser>
        <c:ser>
          <c:idx val="226"/>
          <c:order val="226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187.12499999999997</c:v>
              </c:pt>
              <c:pt idx="1">
                <c:v>195.74999999999989</c:v>
              </c:pt>
            </c:numLit>
          </c:xVal>
          <c:yVal>
            <c:numLit>
              <c:formatCode>General</c:formatCode>
              <c:ptCount val="2"/>
              <c:pt idx="0">
                <c:v>24.193750000000023</c:v>
              </c:pt>
              <c:pt idx="1">
                <c:v>29.787500000000012</c:v>
              </c:pt>
            </c:numLit>
          </c:yVal>
        </c:ser>
        <c:ser>
          <c:idx val="227"/>
          <c:order val="227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178.49999999999997</c:v>
              </c:pt>
              <c:pt idx="1">
                <c:v>187.12499999999997</c:v>
              </c:pt>
            </c:numLit>
          </c:xVal>
          <c:yVal>
            <c:numLit>
              <c:formatCode>General</c:formatCode>
              <c:ptCount val="2"/>
              <c:pt idx="0">
                <c:v>29.787500000000012</c:v>
              </c:pt>
              <c:pt idx="1">
                <c:v>24.193750000000023</c:v>
              </c:pt>
            </c:numLit>
          </c:yVal>
        </c:ser>
        <c:ser>
          <c:idx val="228"/>
          <c:order val="228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169.87499999999997</c:v>
              </c:pt>
              <c:pt idx="1">
                <c:v>178.49999999999997</c:v>
              </c:pt>
            </c:numLit>
          </c:xVal>
          <c:yVal>
            <c:numLit>
              <c:formatCode>General</c:formatCode>
              <c:ptCount val="2"/>
              <c:pt idx="0">
                <c:v>24.193750000000023</c:v>
              </c:pt>
              <c:pt idx="1">
                <c:v>29.787500000000012</c:v>
              </c:pt>
            </c:numLit>
          </c:yVal>
        </c:ser>
        <c:ser>
          <c:idx val="229"/>
          <c:order val="229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161.24999999999989</c:v>
              </c:pt>
              <c:pt idx="1">
                <c:v>169.87499999999997</c:v>
              </c:pt>
            </c:numLit>
          </c:xVal>
          <c:yVal>
            <c:numLit>
              <c:formatCode>General</c:formatCode>
              <c:ptCount val="2"/>
              <c:pt idx="0">
                <c:v>29.787500000000026</c:v>
              </c:pt>
              <c:pt idx="1">
                <c:v>24.193750000000023</c:v>
              </c:pt>
            </c:numLit>
          </c:yVal>
        </c:ser>
        <c:ser>
          <c:idx val="230"/>
          <c:order val="230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221.62499999999997</c:v>
              </c:pt>
              <c:pt idx="1">
                <c:v>230.25</c:v>
              </c:pt>
            </c:numLit>
          </c:xVal>
          <c:yVal>
            <c:numLit>
              <c:formatCode>General</c:formatCode>
              <c:ptCount val="2"/>
              <c:pt idx="0">
                <c:v>24.193750000000023</c:v>
              </c:pt>
              <c:pt idx="1">
                <c:v>29.787500000000012</c:v>
              </c:pt>
            </c:numLit>
          </c:yVal>
        </c:ser>
        <c:ser>
          <c:idx val="231"/>
          <c:order val="231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212.99999999999997</c:v>
              </c:pt>
              <c:pt idx="1">
                <c:v>221.62499999999997</c:v>
              </c:pt>
            </c:numLit>
          </c:xVal>
          <c:yVal>
            <c:numLit>
              <c:formatCode>General</c:formatCode>
              <c:ptCount val="2"/>
              <c:pt idx="0">
                <c:v>29.787500000000012</c:v>
              </c:pt>
              <c:pt idx="1">
                <c:v>24.193750000000023</c:v>
              </c:pt>
            </c:numLit>
          </c:yVal>
        </c:ser>
        <c:ser>
          <c:idx val="232"/>
          <c:order val="232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204.37499999999997</c:v>
              </c:pt>
              <c:pt idx="1">
                <c:v>212.99999999999997</c:v>
              </c:pt>
            </c:numLit>
          </c:xVal>
          <c:yVal>
            <c:numLit>
              <c:formatCode>General</c:formatCode>
              <c:ptCount val="2"/>
              <c:pt idx="0">
                <c:v>24.193750000000023</c:v>
              </c:pt>
              <c:pt idx="1">
                <c:v>29.787500000000012</c:v>
              </c:pt>
            </c:numLit>
          </c:yVal>
        </c:ser>
        <c:ser>
          <c:idx val="233"/>
          <c:order val="233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195.74999999999989</c:v>
              </c:pt>
              <c:pt idx="1">
                <c:v>204.37499999999997</c:v>
              </c:pt>
            </c:numLit>
          </c:xVal>
          <c:yVal>
            <c:numLit>
              <c:formatCode>General</c:formatCode>
              <c:ptCount val="2"/>
              <c:pt idx="0">
                <c:v>29.787500000000012</c:v>
              </c:pt>
              <c:pt idx="1">
                <c:v>24.193750000000023</c:v>
              </c:pt>
            </c:numLit>
          </c:yVal>
        </c:ser>
        <c:ser>
          <c:idx val="234"/>
          <c:order val="234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238.875</c:v>
              </c:pt>
              <c:pt idx="1">
                <c:v>247.5</c:v>
              </c:pt>
            </c:numLit>
          </c:xVal>
          <c:yVal>
            <c:numLit>
              <c:formatCode>General</c:formatCode>
              <c:ptCount val="2"/>
              <c:pt idx="0">
                <c:v>24.193750000000023</c:v>
              </c:pt>
              <c:pt idx="1">
                <c:v>29.787500000000012</c:v>
              </c:pt>
            </c:numLit>
          </c:yVal>
        </c:ser>
        <c:ser>
          <c:idx val="235"/>
          <c:order val="235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230.25</c:v>
              </c:pt>
              <c:pt idx="1">
                <c:v>238.875</c:v>
              </c:pt>
            </c:numLit>
          </c:xVal>
          <c:yVal>
            <c:numLit>
              <c:formatCode>General</c:formatCode>
              <c:ptCount val="2"/>
              <c:pt idx="0">
                <c:v>29.787500000000012</c:v>
              </c:pt>
              <c:pt idx="1">
                <c:v>24.193750000000023</c:v>
              </c:pt>
            </c:numLit>
          </c:yVal>
        </c:ser>
        <c:ser>
          <c:idx val="236"/>
          <c:order val="236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14.625000000000004</c:v>
              </c:pt>
              <c:pt idx="1">
                <c:v>23.250000000000032</c:v>
              </c:pt>
            </c:numLit>
          </c:xVal>
          <c:yVal>
            <c:numLit>
              <c:formatCode>General</c:formatCode>
              <c:ptCount val="2"/>
              <c:pt idx="0">
                <c:v>24.19375000000003</c:v>
              </c:pt>
              <c:pt idx="1">
                <c:v>29.787500000000026</c:v>
              </c:pt>
            </c:numLit>
          </c:yVal>
        </c:ser>
        <c:ser>
          <c:idx val="237"/>
          <c:order val="237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6.0000000000000036</c:v>
              </c:pt>
              <c:pt idx="1">
                <c:v>14.625000000000004</c:v>
              </c:pt>
            </c:numLit>
          </c:xVal>
          <c:yVal>
            <c:numLit>
              <c:formatCode>General</c:formatCode>
              <c:ptCount val="2"/>
              <c:pt idx="0">
                <c:v>29.787500000000026</c:v>
              </c:pt>
              <c:pt idx="1">
                <c:v>24.19375000000003</c:v>
              </c:pt>
            </c:numLit>
          </c:yVal>
        </c:ser>
        <c:ser>
          <c:idx val="238"/>
          <c:order val="238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49.12500000000005</c:v>
              </c:pt>
              <c:pt idx="1">
                <c:v>57.750000000000028</c:v>
              </c:pt>
            </c:numLit>
          </c:xVal>
          <c:yVal>
            <c:numLit>
              <c:formatCode>General</c:formatCode>
              <c:ptCount val="2"/>
              <c:pt idx="0">
                <c:v>24.19375000000003</c:v>
              </c:pt>
              <c:pt idx="1">
                <c:v>29.787500000000026</c:v>
              </c:pt>
            </c:numLit>
          </c:yVal>
        </c:ser>
        <c:ser>
          <c:idx val="239"/>
          <c:order val="239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40.500000000000028</c:v>
              </c:pt>
              <c:pt idx="1">
                <c:v>49.12500000000005</c:v>
              </c:pt>
            </c:numLit>
          </c:xVal>
          <c:yVal>
            <c:numLit>
              <c:formatCode>General</c:formatCode>
              <c:ptCount val="2"/>
              <c:pt idx="0">
                <c:v>29.787500000000026</c:v>
              </c:pt>
              <c:pt idx="1">
                <c:v>24.19375000000003</c:v>
              </c:pt>
            </c:numLit>
          </c:yVal>
        </c:ser>
        <c:ser>
          <c:idx val="240"/>
          <c:order val="240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31.875000000000032</c:v>
              </c:pt>
              <c:pt idx="1">
                <c:v>40.500000000000028</c:v>
              </c:pt>
            </c:numLit>
          </c:xVal>
          <c:yVal>
            <c:numLit>
              <c:formatCode>General</c:formatCode>
              <c:ptCount val="2"/>
              <c:pt idx="0">
                <c:v>24.19375000000003</c:v>
              </c:pt>
              <c:pt idx="1">
                <c:v>29.787500000000026</c:v>
              </c:pt>
            </c:numLit>
          </c:yVal>
        </c:ser>
        <c:ser>
          <c:idx val="241"/>
          <c:order val="241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23.250000000000032</c:v>
              </c:pt>
              <c:pt idx="1">
                <c:v>31.875000000000032</c:v>
              </c:pt>
            </c:numLit>
          </c:xVal>
          <c:yVal>
            <c:numLit>
              <c:formatCode>General</c:formatCode>
              <c:ptCount val="2"/>
              <c:pt idx="0">
                <c:v>29.787500000000026</c:v>
              </c:pt>
              <c:pt idx="1">
                <c:v>24.19375000000003</c:v>
              </c:pt>
            </c:numLit>
          </c:yVal>
        </c:ser>
        <c:ser>
          <c:idx val="242"/>
          <c:order val="242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83.624999999999986</c:v>
              </c:pt>
              <c:pt idx="1">
                <c:v>92.250000000000014</c:v>
              </c:pt>
            </c:numLit>
          </c:xVal>
          <c:yVal>
            <c:numLit>
              <c:formatCode>General</c:formatCode>
              <c:ptCount val="2"/>
              <c:pt idx="0">
                <c:v>24.193750000000023</c:v>
              </c:pt>
              <c:pt idx="1">
                <c:v>29.787500000000012</c:v>
              </c:pt>
            </c:numLit>
          </c:yVal>
        </c:ser>
        <c:ser>
          <c:idx val="243"/>
          <c:order val="243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75.000000000000028</c:v>
              </c:pt>
              <c:pt idx="1">
                <c:v>83.624999999999986</c:v>
              </c:pt>
            </c:numLit>
          </c:xVal>
          <c:yVal>
            <c:numLit>
              <c:formatCode>General</c:formatCode>
              <c:ptCount val="2"/>
              <c:pt idx="0">
                <c:v>29.787500000000012</c:v>
              </c:pt>
              <c:pt idx="1">
                <c:v>24.193750000000023</c:v>
              </c:pt>
            </c:numLit>
          </c:yVal>
        </c:ser>
        <c:ser>
          <c:idx val="244"/>
          <c:order val="244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66.374999999999986</c:v>
              </c:pt>
              <c:pt idx="1">
                <c:v>75.000000000000028</c:v>
              </c:pt>
            </c:numLit>
          </c:xVal>
          <c:yVal>
            <c:numLit>
              <c:formatCode>General</c:formatCode>
              <c:ptCount val="2"/>
              <c:pt idx="0">
                <c:v>24.19375000000003</c:v>
              </c:pt>
              <c:pt idx="1">
                <c:v>29.787500000000012</c:v>
              </c:pt>
            </c:numLit>
          </c:yVal>
        </c:ser>
        <c:ser>
          <c:idx val="245"/>
          <c:order val="245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57.750000000000028</c:v>
              </c:pt>
              <c:pt idx="1">
                <c:v>66.374999999999986</c:v>
              </c:pt>
            </c:numLit>
          </c:xVal>
          <c:yVal>
            <c:numLit>
              <c:formatCode>General</c:formatCode>
              <c:ptCount val="2"/>
              <c:pt idx="0">
                <c:v>29.787500000000026</c:v>
              </c:pt>
              <c:pt idx="1">
                <c:v>24.19375000000003</c:v>
              </c:pt>
            </c:numLit>
          </c:yVal>
        </c:ser>
        <c:ser>
          <c:idx val="246"/>
          <c:order val="246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118.12499999999999</c:v>
              </c:pt>
              <c:pt idx="1">
                <c:v>126.75000000000003</c:v>
              </c:pt>
            </c:numLit>
          </c:xVal>
          <c:yVal>
            <c:numLit>
              <c:formatCode>General</c:formatCode>
              <c:ptCount val="2"/>
              <c:pt idx="0">
                <c:v>24.193750000000023</c:v>
              </c:pt>
              <c:pt idx="1">
                <c:v>29.787500000000012</c:v>
              </c:pt>
            </c:numLit>
          </c:yVal>
        </c:ser>
        <c:ser>
          <c:idx val="247"/>
          <c:order val="247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109.50000000000001</c:v>
              </c:pt>
              <c:pt idx="1">
                <c:v>118.12499999999999</c:v>
              </c:pt>
            </c:numLit>
          </c:xVal>
          <c:yVal>
            <c:numLit>
              <c:formatCode>General</c:formatCode>
              <c:ptCount val="2"/>
              <c:pt idx="0">
                <c:v>29.787500000000012</c:v>
              </c:pt>
              <c:pt idx="1">
                <c:v>24.193750000000023</c:v>
              </c:pt>
            </c:numLit>
          </c:yVal>
        </c:ser>
        <c:ser>
          <c:idx val="248"/>
          <c:order val="248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100.87499999999999</c:v>
              </c:pt>
              <c:pt idx="1">
                <c:v>109.50000000000001</c:v>
              </c:pt>
            </c:numLit>
          </c:xVal>
          <c:yVal>
            <c:numLit>
              <c:formatCode>General</c:formatCode>
              <c:ptCount val="2"/>
              <c:pt idx="0">
                <c:v>24.193750000000023</c:v>
              </c:pt>
              <c:pt idx="1">
                <c:v>29.787500000000012</c:v>
              </c:pt>
            </c:numLit>
          </c:yVal>
        </c:ser>
        <c:ser>
          <c:idx val="249"/>
          <c:order val="249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92.250000000000014</c:v>
              </c:pt>
              <c:pt idx="1">
                <c:v>100.87499999999999</c:v>
              </c:pt>
            </c:numLit>
          </c:xVal>
          <c:yVal>
            <c:numLit>
              <c:formatCode>General</c:formatCode>
              <c:ptCount val="2"/>
              <c:pt idx="0">
                <c:v>29.787500000000012</c:v>
              </c:pt>
              <c:pt idx="1">
                <c:v>24.193750000000023</c:v>
              </c:pt>
            </c:numLit>
          </c:yVal>
        </c:ser>
        <c:ser>
          <c:idx val="250"/>
          <c:order val="250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152.62500000000003</c:v>
              </c:pt>
              <c:pt idx="1">
                <c:v>161.25000000000003</c:v>
              </c:pt>
            </c:numLit>
          </c:xVal>
          <c:yVal>
            <c:numLit>
              <c:formatCode>General</c:formatCode>
              <c:ptCount val="2"/>
              <c:pt idx="0">
                <c:v>24.193750000000023</c:v>
              </c:pt>
              <c:pt idx="1">
                <c:v>29.787500000000012</c:v>
              </c:pt>
            </c:numLit>
          </c:yVal>
        </c:ser>
        <c:ser>
          <c:idx val="251"/>
          <c:order val="251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144.00000000000003</c:v>
              </c:pt>
              <c:pt idx="1">
                <c:v>152.62500000000003</c:v>
              </c:pt>
            </c:numLit>
          </c:xVal>
          <c:yVal>
            <c:numLit>
              <c:formatCode>General</c:formatCode>
              <c:ptCount val="2"/>
              <c:pt idx="0">
                <c:v>29.787500000000012</c:v>
              </c:pt>
              <c:pt idx="1">
                <c:v>24.193750000000023</c:v>
              </c:pt>
            </c:numLit>
          </c:yVal>
        </c:ser>
        <c:ser>
          <c:idx val="252"/>
          <c:order val="252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135.37500000000003</c:v>
              </c:pt>
              <c:pt idx="1">
                <c:v>144.00000000000003</c:v>
              </c:pt>
            </c:numLit>
          </c:xVal>
          <c:yVal>
            <c:numLit>
              <c:formatCode>General</c:formatCode>
              <c:ptCount val="2"/>
              <c:pt idx="0">
                <c:v>24.193750000000023</c:v>
              </c:pt>
              <c:pt idx="1">
                <c:v>29.787500000000012</c:v>
              </c:pt>
            </c:numLit>
          </c:yVal>
        </c:ser>
        <c:ser>
          <c:idx val="253"/>
          <c:order val="253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126.75000000000003</c:v>
              </c:pt>
              <c:pt idx="1">
                <c:v>135.37500000000003</c:v>
              </c:pt>
            </c:numLit>
          </c:xVal>
          <c:yVal>
            <c:numLit>
              <c:formatCode>General</c:formatCode>
              <c:ptCount val="2"/>
              <c:pt idx="0">
                <c:v>29.787500000000012</c:v>
              </c:pt>
              <c:pt idx="1">
                <c:v>24.193750000000023</c:v>
              </c:pt>
            </c:numLit>
          </c:yVal>
        </c:ser>
        <c:ser>
          <c:idx val="254"/>
          <c:order val="254"/>
          <c:spPr>
            <a:ln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187.12500000000003</c:v>
              </c:pt>
              <c:pt idx="1">
                <c:v>195.75000000000003</c:v>
              </c:pt>
            </c:numLit>
          </c:xVal>
          <c:yVal>
            <c:numLit>
              <c:formatCode>General</c:formatCode>
              <c:ptCount val="2"/>
              <c:pt idx="0">
                <c:v>24.19374999999998</c:v>
              </c:pt>
              <c:pt idx="1">
                <c:v>29.78749999999998</c:v>
              </c:pt>
            </c:numLit>
          </c:yVal>
        </c:ser>
        <c:axId val="134183552"/>
        <c:axId val="134193920"/>
      </c:scatterChart>
      <c:valAx>
        <c:axId val="13418355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Span</a:t>
                </a:r>
              </a:p>
            </c:rich>
          </c:tx>
        </c:title>
        <c:numFmt formatCode="General" sourceLinked="1"/>
        <c:majorTickMark val="none"/>
        <c:tickLblPos val="nextTo"/>
        <c:crossAx val="134193920"/>
        <c:crosses val="autoZero"/>
        <c:crossBetween val="midCat"/>
      </c:valAx>
      <c:valAx>
        <c:axId val="134193920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Up</a:t>
                </a:r>
              </a:p>
            </c:rich>
          </c:tx>
        </c:title>
        <c:numFmt formatCode="General" sourceLinked="1"/>
        <c:majorTickMark val="none"/>
        <c:tickLblPos val="nextTo"/>
        <c:crossAx val="134183552"/>
        <c:crosses val="autoZero"/>
        <c:crossBetween val="midCat"/>
      </c:valAx>
    </c:plotArea>
    <c:plotVisOnly val="1"/>
    <c:dispBlanksAs val="gap"/>
  </c:chart>
  <c:printSettings>
    <c:headerFooter/>
    <c:pageMargins b="0.75000000000000611" l="0.70000000000000062" r="0.70000000000000062" t="0.7500000000000061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>
        <c:manualLayout>
          <c:layoutTarget val="inner"/>
          <c:xMode val="edge"/>
          <c:yMode val="edge"/>
          <c:x val="0.13089129483814524"/>
          <c:y val="7.6701386697883511E-2"/>
          <c:w val="0.80338284185064135"/>
          <c:h val="0.60373579412552558"/>
        </c:manualLayout>
      </c:layout>
      <c:scatterChart>
        <c:scatterStyle val="lineMarker"/>
        <c:ser>
          <c:idx val="0"/>
          <c:order val="0"/>
          <c:tx>
            <c:v>Support 1</c:v>
          </c:tx>
          <c:spPr>
            <a:ln w="28575">
              <a:noFill/>
            </a:ln>
          </c:spPr>
          <c:marker>
            <c:symbol val="triangle"/>
            <c:size val="10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showSerName val="1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'ACAD Lines'!$U$3</c:f>
              <c:numCache>
                <c:formatCode>General</c:formatCode>
                <c:ptCount val="1"/>
                <c:pt idx="0">
                  <c:v>6</c:v>
                </c:pt>
              </c:numCache>
            </c:numRef>
          </c:xVal>
          <c:yVal>
            <c:numRef>
              <c:f>'ACAD Lines'!$V$3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</c:ser>
        <c:ser>
          <c:idx val="1"/>
          <c:order val="1"/>
          <c:tx>
            <c:v>Support 2</c:v>
          </c:tx>
          <c:spPr>
            <a:ln w="28575">
              <a:noFill/>
            </a:ln>
          </c:spPr>
          <c:marker>
            <c:symbol val="triangle"/>
            <c:size val="10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showSerName val="1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'ACAD Lines'!$U$4</c:f>
              <c:numCache>
                <c:formatCode>General</c:formatCode>
                <c:ptCount val="1"/>
                <c:pt idx="0">
                  <c:v>195.75</c:v>
                </c:pt>
              </c:numCache>
            </c:numRef>
          </c:xVal>
          <c:yVal>
            <c:numRef>
              <c:f>'ACAD Lines'!$V$4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</c:ser>
        <c:ser>
          <c:idx val="2"/>
          <c:order val="2"/>
          <c:tx>
            <c:v>Support 3</c:v>
          </c:tx>
          <c:spPr>
            <a:ln w="28575">
              <a:noFill/>
            </a:ln>
          </c:spPr>
          <c:marker>
            <c:symbol val="triangle"/>
            <c:size val="10"/>
            <c:spPr>
              <a:solidFill>
                <a:srgbClr val="00B050"/>
              </a:solidFill>
              <a:ln>
                <a:solidFill>
                  <a:schemeClr val="tx1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showSerName val="1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'ACAD Lines'!$U$5</c:f>
              <c:numCache>
                <c:formatCode>General</c:formatCode>
                <c:ptCount val="1"/>
                <c:pt idx="0">
                  <c:v>195.75</c:v>
                </c:pt>
              </c:numCache>
            </c:numRef>
          </c:xVal>
          <c:yVal>
            <c:numRef>
              <c:f>'ACAD Lines'!$V$5</c:f>
              <c:numCache>
                <c:formatCode>General</c:formatCode>
                <c:ptCount val="1"/>
                <c:pt idx="0">
                  <c:v>32</c:v>
                </c:pt>
              </c:numCache>
            </c:numRef>
          </c:yVal>
        </c:ser>
        <c:ser>
          <c:idx val="3"/>
          <c:order val="3"/>
          <c:tx>
            <c:v>Support 4</c:v>
          </c:tx>
          <c:spPr>
            <a:ln w="28575">
              <a:noFill/>
            </a:ln>
          </c:spPr>
          <c:marker>
            <c:symbol val="triangle"/>
            <c:size val="10"/>
            <c:spPr>
              <a:solidFill>
                <a:srgbClr val="0000FF"/>
              </a:solidFill>
              <a:ln>
                <a:solidFill>
                  <a:schemeClr val="tx1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showSerName val="1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'ACAD Lines'!$U$6</c:f>
              <c:numCache>
                <c:formatCode>General</c:formatCode>
                <c:ptCount val="1"/>
                <c:pt idx="0">
                  <c:v>6</c:v>
                </c:pt>
              </c:numCache>
            </c:numRef>
          </c:xVal>
          <c:yVal>
            <c:numRef>
              <c:f>'ACAD Lines'!$V$6</c:f>
              <c:numCache>
                <c:formatCode>General</c:formatCode>
                <c:ptCount val="1"/>
                <c:pt idx="0">
                  <c:v>32</c:v>
                </c:pt>
              </c:numCache>
            </c:numRef>
          </c:yVal>
        </c:ser>
        <c:axId val="109533056"/>
        <c:axId val="109707264"/>
      </c:scatterChart>
      <c:valAx>
        <c:axId val="10953305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Span</a:t>
                </a:r>
              </a:p>
            </c:rich>
          </c:tx>
        </c:title>
        <c:numFmt formatCode="General" sourceLinked="1"/>
        <c:majorTickMark val="none"/>
        <c:tickLblPos val="nextTo"/>
        <c:crossAx val="109707264"/>
        <c:crosses val="autoZero"/>
        <c:crossBetween val="midCat"/>
      </c:valAx>
      <c:valAx>
        <c:axId val="109707264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Lateral</a:t>
                </a:r>
              </a:p>
            </c:rich>
          </c:tx>
        </c:title>
        <c:numFmt formatCode="General" sourceLinked="1"/>
        <c:majorTickMark val="none"/>
        <c:tickLblPos val="nextTo"/>
        <c:crossAx val="109533056"/>
        <c:crosses val="autoZero"/>
        <c:crossBetween val="midCat"/>
      </c:valAx>
    </c:plotArea>
    <c:plotVisOnly val="1"/>
    <c:dispBlanksAs val="gap"/>
  </c:chart>
  <c:printSettings>
    <c:headerFooter/>
    <c:pageMargins b="0.75000000000000555" l="0.70000000000000062" r="0.70000000000000062" t="0.7500000000000055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Tubings: Moment of Inertia vs. Cross-Sectional</a:t>
            </a:r>
            <a:r>
              <a:rPr lang="en-US" baseline="0"/>
              <a:t> Area</a:t>
            </a:r>
            <a:endParaRPr lang="en-US"/>
          </a:p>
        </c:rich>
      </c:tx>
    </c:title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xVal>
            <c:numRef>
              <c:f>'Tubing Database'!$I$2:$I$256</c:f>
              <c:numCache>
                <c:formatCode>0.0000</c:formatCode>
                <c:ptCount val="255"/>
                <c:pt idx="0">
                  <c:v>1.6675770154795471E-2</c:v>
                </c:pt>
                <c:pt idx="1">
                  <c:v>1.9528139934714153E-2</c:v>
                </c:pt>
                <c:pt idx="2">
                  <c:v>2.3640484718263195E-2</c:v>
                </c:pt>
                <c:pt idx="3">
                  <c:v>3.0941546045205874E-2</c:v>
                </c:pt>
                <c:pt idx="4">
                  <c:v>3.4984775790375934E-2</c:v>
                </c:pt>
                <c:pt idx="5">
                  <c:v>3.7777651659417266E-2</c:v>
                </c:pt>
                <c:pt idx="6">
                  <c:v>2.5227185357866892E-2</c:v>
                </c:pt>
                <c:pt idx="7">
                  <c:v>3.0322063243826136E-2</c:v>
                </c:pt>
                <c:pt idx="8">
                  <c:v>4.0394009291235017E-2</c:v>
                </c:pt>
                <c:pt idx="9">
                  <c:v>4.6834274231094083E-2</c:v>
                </c:pt>
                <c:pt idx="10">
                  <c:v>5.0683510629904983E-2</c:v>
                </c:pt>
                <c:pt idx="11">
                  <c:v>5.9842627661905172E-2</c:v>
                </c:pt>
                <c:pt idx="12">
                  <c:v>3.0523714222278425E-2</c:v>
                </c:pt>
                <c:pt idx="13">
                  <c:v>3.7384952577718539E-2</c:v>
                </c:pt>
                <c:pt idx="14">
                  <c:v>5.018380104844334E-2</c:v>
                </c:pt>
                <c:pt idx="15">
                  <c:v>5.7761322528901933E-2</c:v>
                </c:pt>
                <c:pt idx="16">
                  <c:v>6.1751145198960973E-2</c:v>
                </c:pt>
                <c:pt idx="17">
                  <c:v>7.613963955240223E-2</c:v>
                </c:pt>
                <c:pt idx="18">
                  <c:v>8.3566364585488495E-2</c:v>
                </c:pt>
                <c:pt idx="19">
                  <c:v>3.6021501366060561E-2</c:v>
                </c:pt>
                <c:pt idx="20">
                  <c:v>4.4545623982953919E-2</c:v>
                </c:pt>
                <c:pt idx="21">
                  <c:v>5.9538089524047794E-2</c:v>
                </c:pt>
                <c:pt idx="22">
                  <c:v>6.8896894039091799E-2</c:v>
                </c:pt>
                <c:pt idx="23">
                  <c:v>7.6307125710746729E-2</c:v>
                </c:pt>
                <c:pt idx="24">
                  <c:v>0.10241376066207791</c:v>
                </c:pt>
                <c:pt idx="25">
                  <c:v>0.11984959988950125</c:v>
                </c:pt>
                <c:pt idx="26">
                  <c:v>4.1519288509842704E-2</c:v>
                </c:pt>
                <c:pt idx="27">
                  <c:v>5.1129420437173896E-2</c:v>
                </c:pt>
                <c:pt idx="28">
                  <c:v>6.9426056051680812E-2</c:v>
                </c:pt>
                <c:pt idx="29">
                  <c:v>8.0537869267427939E-2</c:v>
                </c:pt>
                <c:pt idx="30">
                  <c:v>8.8828532280251407E-2</c:v>
                </c:pt>
                <c:pt idx="31">
                  <c:v>0.10873366333339632</c:v>
                </c:pt>
                <c:pt idx="32">
                  <c:v>0.12087277734686727</c:v>
                </c:pt>
                <c:pt idx="33">
                  <c:v>0.14325662500369457</c:v>
                </c:pt>
                <c:pt idx="34">
                  <c:v>5.8388266612833951E-2</c:v>
                </c:pt>
                <c:pt idx="35">
                  <c:v>7.9411804650656836E-2</c:v>
                </c:pt>
                <c:pt idx="36">
                  <c:v>0.10193074079158849</c:v>
                </c:pt>
                <c:pt idx="37">
                  <c:v>0.16707166446377283</c:v>
                </c:pt>
                <c:pt idx="38">
                  <c:v>5.2514862797407011E-2</c:v>
                </c:pt>
                <c:pt idx="39">
                  <c:v>6.4873888296629184E-2</c:v>
                </c:pt>
                <c:pt idx="40">
                  <c:v>8.866831105491832E-2</c:v>
                </c:pt>
                <c:pt idx="41">
                  <c:v>0.10331441600595394</c:v>
                </c:pt>
                <c:pt idx="42">
                  <c:v>0.11435397259066847</c:v>
                </c:pt>
                <c:pt idx="43">
                  <c:v>0.14132768711439042</c:v>
                </c:pt>
                <c:pt idx="44">
                  <c:v>0.15817919010824608</c:v>
                </c:pt>
                <c:pt idx="45">
                  <c:v>0.19038051480754148</c:v>
                </c:pt>
                <c:pt idx="46">
                  <c:v>0.22985148490724364</c:v>
                </c:pt>
                <c:pt idx="47">
                  <c:v>6.3510437084971297E-2</c:v>
                </c:pt>
                <c:pt idx="48">
                  <c:v>7.8618356156084507E-2</c:v>
                </c:pt>
                <c:pt idx="49">
                  <c:v>0.10791056605815577</c:v>
                </c:pt>
                <c:pt idx="50">
                  <c:v>0.1260909627444799</c:v>
                </c:pt>
                <c:pt idx="51">
                  <c:v>0.13987941290108552</c:v>
                </c:pt>
                <c:pt idx="52">
                  <c:v>0.19548560286962485</c:v>
                </c:pt>
                <c:pt idx="53">
                  <c:v>0.23750440461138836</c:v>
                </c:pt>
                <c:pt idx="54">
                  <c:v>0.29179976504521737</c:v>
                </c:pt>
                <c:pt idx="55">
                  <c:v>0.33133985018329848</c:v>
                </c:pt>
                <c:pt idx="56">
                  <c:v>7.4506011372535583E-2</c:v>
                </c:pt>
                <c:pt idx="57">
                  <c:v>9.2362824015539857E-2</c:v>
                </c:pt>
                <c:pt idx="58">
                  <c:v>0.12715282106139322</c:v>
                </c:pt>
                <c:pt idx="59">
                  <c:v>0.14886750948300589</c:v>
                </c:pt>
                <c:pt idx="60">
                  <c:v>0.16540485321150261</c:v>
                </c:pt>
                <c:pt idx="61">
                  <c:v>0.20651573467637868</c:v>
                </c:pt>
                <c:pt idx="62">
                  <c:v>0.23279201563100363</c:v>
                </c:pt>
                <c:pt idx="63">
                  <c:v>0.28462829441523524</c:v>
                </c:pt>
                <c:pt idx="64">
                  <c:v>0.40497092800180928</c:v>
                </c:pt>
                <c:pt idx="65">
                  <c:v>8.5501585660099869E-2</c:v>
                </c:pt>
                <c:pt idx="66">
                  <c:v>0.10610729187499518</c:v>
                </c:pt>
                <c:pt idx="67">
                  <c:v>0.14639507606463079</c:v>
                </c:pt>
                <c:pt idx="68">
                  <c:v>0.17164405622153189</c:v>
                </c:pt>
                <c:pt idx="69">
                  <c:v>0.19093029352191968</c:v>
                </c:pt>
                <c:pt idx="70">
                  <c:v>0.23910975845737278</c:v>
                </c:pt>
                <c:pt idx="71">
                  <c:v>0.27009842839238235</c:v>
                </c:pt>
                <c:pt idx="72">
                  <c:v>0.33175218421908215</c:v>
                </c:pt>
                <c:pt idx="73">
                  <c:v>0.41471457761691793</c:v>
                </c:pt>
                <c:pt idx="74">
                  <c:v>0.47860200582032003</c:v>
                </c:pt>
                <c:pt idx="75">
                  <c:v>0.58904862254808621</c:v>
                </c:pt>
                <c:pt idx="76">
                  <c:v>0.11985175973445066</c:v>
                </c:pt>
                <c:pt idx="77">
                  <c:v>0.1656373310678684</c:v>
                </c:pt>
                <c:pt idx="78">
                  <c:v>0.19442060296005809</c:v>
                </c:pt>
                <c:pt idx="79">
                  <c:v>0.21645573383233671</c:v>
                </c:pt>
                <c:pt idx="80">
                  <c:v>0.30740484115376115</c:v>
                </c:pt>
                <c:pt idx="81">
                  <c:v>0.378876074022929</c:v>
                </c:pt>
                <c:pt idx="82">
                  <c:v>0.68722339297276724</c:v>
                </c:pt>
                <c:pt idx="83">
                  <c:v>0.32605804753445056</c:v>
                </c:pt>
                <c:pt idx="84">
                  <c:v>0.13359622759390608</c:v>
                </c:pt>
                <c:pt idx="85">
                  <c:v>0.18487958607110586</c:v>
                </c:pt>
                <c:pt idx="86">
                  <c:v>0.21719714969858403</c:v>
                </c:pt>
                <c:pt idx="87">
                  <c:v>0.24198117414275366</c:v>
                </c:pt>
                <c:pt idx="88">
                  <c:v>0.30429780601936085</c:v>
                </c:pt>
                <c:pt idx="89">
                  <c:v>0.3447112539151399</c:v>
                </c:pt>
                <c:pt idx="90">
                  <c:v>0.42599996382677596</c:v>
                </c:pt>
                <c:pt idx="91">
                  <c:v>0.53615676863224859</c:v>
                </c:pt>
                <c:pt idx="92">
                  <c:v>0.78539816339744828</c:v>
                </c:pt>
                <c:pt idx="93">
                  <c:v>0.14734069545336145</c:v>
                </c:pt>
                <c:pt idx="94">
                  <c:v>0.20412184107434331</c:v>
                </c:pt>
                <c:pt idx="95">
                  <c:v>0.23997369643711014</c:v>
                </c:pt>
                <c:pt idx="96">
                  <c:v>0.2675066144531707</c:v>
                </c:pt>
                <c:pt idx="97">
                  <c:v>0.38201766667651882</c:v>
                </c:pt>
                <c:pt idx="98">
                  <c:v>0.47312385363062287</c:v>
                </c:pt>
                <c:pt idx="99">
                  <c:v>0.16108516331281686</c:v>
                </c:pt>
                <c:pt idx="100">
                  <c:v>0.22336409607758095</c:v>
                </c:pt>
                <c:pt idx="101">
                  <c:v>0.26275024317563606</c:v>
                </c:pt>
                <c:pt idx="102">
                  <c:v>0.29303205476358779</c:v>
                </c:pt>
                <c:pt idx="103">
                  <c:v>0.36948585358134906</c:v>
                </c:pt>
                <c:pt idx="104">
                  <c:v>0.41932407943789751</c:v>
                </c:pt>
                <c:pt idx="105">
                  <c:v>0.52024774343446967</c:v>
                </c:pt>
                <c:pt idx="106">
                  <c:v>0.77312631709436319</c:v>
                </c:pt>
                <c:pt idx="107">
                  <c:v>0.24260635108081841</c:v>
                </c:pt>
                <c:pt idx="108">
                  <c:v>0.28552678991416203</c:v>
                </c:pt>
                <c:pt idx="109">
                  <c:v>0.31855749507400483</c:v>
                </c:pt>
                <c:pt idx="110">
                  <c:v>0.44760155491285919</c:v>
                </c:pt>
                <c:pt idx="111">
                  <c:v>0.45663049219927637</c:v>
                </c:pt>
                <c:pt idx="112">
                  <c:v>0.56737163323831663</c:v>
                </c:pt>
                <c:pt idx="113">
                  <c:v>0.7220016090461695</c:v>
                </c:pt>
                <c:pt idx="114">
                  <c:v>0.84675739491287394</c:v>
                </c:pt>
                <c:pt idx="115">
                  <c:v>0.18857409903172767</c:v>
                </c:pt>
                <c:pt idx="116">
                  <c:v>0.26184860608405602</c:v>
                </c:pt>
                <c:pt idx="117">
                  <c:v>0.30830333665268828</c:v>
                </c:pt>
                <c:pt idx="118">
                  <c:v>0.3440829353844217</c:v>
                </c:pt>
                <c:pt idx="119">
                  <c:v>0.49393690496065507</c:v>
                </c:pt>
                <c:pt idx="120">
                  <c:v>0.61449552304216348</c:v>
                </c:pt>
                <c:pt idx="121">
                  <c:v>0.92038847273138469</c:v>
                </c:pt>
                <c:pt idx="122">
                  <c:v>0.66161941284601045</c:v>
                </c:pt>
                <c:pt idx="123">
                  <c:v>0.30033311609053093</c:v>
                </c:pt>
                <c:pt idx="124">
                  <c:v>0.39513381600525577</c:v>
                </c:pt>
                <c:pt idx="125">
                  <c:v>0.56854973048341284</c:v>
                </c:pt>
                <c:pt idx="126">
                  <c:v>0.70874330264985741</c:v>
                </c:pt>
                <c:pt idx="127">
                  <c:v>0.9037231091022544</c:v>
                </c:pt>
                <c:pt idx="128">
                  <c:v>1.0702023870012844</c:v>
                </c:pt>
                <c:pt idx="129">
                  <c:v>0.802991082257552</c:v>
                </c:pt>
                <c:pt idx="130">
                  <c:v>1.5707963267948966</c:v>
                </c:pt>
                <c:pt idx="131">
                  <c:v>0.89723886186524582</c:v>
                </c:pt>
                <c:pt idx="132">
                  <c:v>1.7671458676442586</c:v>
                </c:pt>
                <c:pt idx="133">
                  <c:v>4.7600000000000003E-2</c:v>
                </c:pt>
                <c:pt idx="134">
                  <c:v>6.5100000000000019E-2</c:v>
                </c:pt>
                <c:pt idx="135">
                  <c:v>8.8395999999999975E-2</c:v>
                </c:pt>
                <c:pt idx="136">
                  <c:v>0.15389999999999998</c:v>
                </c:pt>
                <c:pt idx="137">
                  <c:v>8.2600000000000062E-2</c:v>
                </c:pt>
                <c:pt idx="138">
                  <c:v>0.112896</c:v>
                </c:pt>
                <c:pt idx="139">
                  <c:v>0.14560000000000001</c:v>
                </c:pt>
                <c:pt idx="140">
                  <c:v>0.10010000000000008</c:v>
                </c:pt>
                <c:pt idx="141">
                  <c:v>0.13739599999999996</c:v>
                </c:pt>
                <c:pt idx="142">
                  <c:v>0.16054399999999996</c:v>
                </c:pt>
                <c:pt idx="143">
                  <c:v>0.17809999999999998</c:v>
                </c:pt>
                <c:pt idx="144">
                  <c:v>0.11760000000000015</c:v>
                </c:pt>
                <c:pt idx="145">
                  <c:v>0.16189599999999993</c:v>
                </c:pt>
                <c:pt idx="146">
                  <c:v>0.21060000000000001</c:v>
                </c:pt>
                <c:pt idx="147">
                  <c:v>0.13510000000000011</c:v>
                </c:pt>
                <c:pt idx="148">
                  <c:v>0.18639600000000001</c:v>
                </c:pt>
                <c:pt idx="149">
                  <c:v>0.21854399999999996</c:v>
                </c:pt>
                <c:pt idx="150">
                  <c:v>0.24309999999999998</c:v>
                </c:pt>
                <c:pt idx="151">
                  <c:v>0.21089600000000019</c:v>
                </c:pt>
                <c:pt idx="152">
                  <c:v>0.24754400000000021</c:v>
                </c:pt>
              </c:numCache>
            </c:numRef>
          </c:xVal>
          <c:yVal>
            <c:numRef>
              <c:f>'Tubing Database'!$J$2:$J$257</c:f>
              <c:numCache>
                <c:formatCode>0.00000</c:formatCode>
                <c:ptCount val="256"/>
                <c:pt idx="0">
                  <c:v>5.1153185508743779E-5</c:v>
                </c:pt>
                <c:pt idx="1">
                  <c:v>1.2221686378140851E-4</c:v>
                </c:pt>
                <c:pt idx="2">
                  <c:v>1.4021762498519857E-4</c:v>
                </c:pt>
                <c:pt idx="3">
                  <c:v>1.6554500672836273E-4</c:v>
                </c:pt>
                <c:pt idx="4">
                  <c:v>1.759209450619054E-4</c:v>
                </c:pt>
                <c:pt idx="5">
                  <c:v>1.8156883828807422E-4</c:v>
                </c:pt>
                <c:pt idx="6">
                  <c:v>2.5730507123233453E-4</c:v>
                </c:pt>
                <c:pt idx="7">
                  <c:v>2.9697665632122405E-4</c:v>
                </c:pt>
                <c:pt idx="8">
                  <c:v>3.6324628433340677E-4</c:v>
                </c:pt>
                <c:pt idx="9">
                  <c:v>3.9715830440735218E-4</c:v>
                </c:pt>
                <c:pt idx="10">
                  <c:v>4.1427513694103943E-4</c:v>
                </c:pt>
                <c:pt idx="11">
                  <c:v>4.4552275269654068E-4</c:v>
                </c:pt>
                <c:pt idx="12">
                  <c:v>4.6240756221757368E-4</c:v>
                </c:pt>
                <c:pt idx="13">
                  <c:v>5.4593713561149613E-4</c:v>
                </c:pt>
                <c:pt idx="14">
                  <c:v>6.8172811831770973E-4</c:v>
                </c:pt>
                <c:pt idx="15">
                  <c:v>7.4983582857425653E-4</c:v>
                </c:pt>
                <c:pt idx="16">
                  <c:v>7.8202422169279171E-4</c:v>
                </c:pt>
                <c:pt idx="17">
                  <c:v>8.7706202545906526E-4</c:v>
                </c:pt>
                <c:pt idx="18">
                  <c:v>9.1322367798579143E-4</c:v>
                </c:pt>
                <c:pt idx="19">
                  <c:v>7.5858692831512844E-4</c:v>
                </c:pt>
                <c:pt idx="20">
                  <c:v>9.0788227432045973E-4</c:v>
                </c:pt>
                <c:pt idx="21">
                  <c:v>1.1424103498088875E-3</c:v>
                </c:pt>
                <c:pt idx="22">
                  <c:v>1.2706751053886943E-3</c:v>
                </c:pt>
                <c:pt idx="23">
                  <c:v>1.3623456919802993E-3</c:v>
                </c:pt>
                <c:pt idx="24">
                  <c:v>1.6156746875599102E-3</c:v>
                </c:pt>
                <c:pt idx="25">
                  <c:v>1.7244503500600942E-3</c:v>
                </c:pt>
                <c:pt idx="26">
                  <c:v>1.1602980366960643E-3</c:v>
                </c:pt>
                <c:pt idx="27">
                  <c:v>1.3897615592579331E-3</c:v>
                </c:pt>
                <c:pt idx="28">
                  <c:v>1.7860026484435019E-3</c:v>
                </c:pt>
                <c:pt idx="29">
                  <c:v>2.0006412104721775E-3</c:v>
                </c:pt>
                <c:pt idx="30">
                  <c:v>2.147984946201829E-3</c:v>
                </c:pt>
                <c:pt idx="31">
                  <c:v>2.4570817737605902E-3</c:v>
                </c:pt>
                <c:pt idx="32">
                  <c:v>2.6146292649844231E-3</c:v>
                </c:pt>
                <c:pt idx="33">
                  <c:v>2.843644006323337E-3</c:v>
                </c:pt>
                <c:pt idx="34">
                  <c:v>2.038006865771002E-3</c:v>
                </c:pt>
                <c:pt idx="35">
                  <c:v>2.6389647005821688E-3</c:v>
                </c:pt>
                <c:pt idx="36">
                  <c:v>3.2046403764423729E-3</c:v>
                </c:pt>
                <c:pt idx="37">
                  <c:v>4.3865735807814034E-3</c:v>
                </c:pt>
                <c:pt idx="38">
                  <c:v>2.3447426733992755E-3</c:v>
                </c:pt>
                <c:pt idx="39">
                  <c:v>2.8327588786524992E-3</c:v>
                </c:pt>
                <c:pt idx="40">
                  <c:v>3.7038637729249297E-3</c:v>
                </c:pt>
                <c:pt idx="41">
                  <c:v>4.1952497478477688E-3</c:v>
                </c:pt>
                <c:pt idx="42">
                  <c:v>4.5430689173286513E-3</c:v>
                </c:pt>
                <c:pt idx="43">
                  <c:v>5.3113241392503535E-3</c:v>
                </c:pt>
                <c:pt idx="44">
                  <c:v>5.7325127115166559E-3</c:v>
                </c:pt>
                <c:pt idx="45">
                  <c:v>6.4116587752527324E-3</c:v>
                </c:pt>
                <c:pt idx="46">
                  <c:v>7.0190035260481115E-3</c:v>
                </c:pt>
                <c:pt idx="47">
                  <c:v>4.1445958585095985E-3</c:v>
                </c:pt>
                <c:pt idx="48">
                  <c:v>5.0359970765231883E-3</c:v>
                </c:pt>
                <c:pt idx="49">
                  <c:v>6.6608066675811796E-3</c:v>
                </c:pt>
                <c:pt idx="50">
                  <c:v>7.6005740977931327E-3</c:v>
                </c:pt>
                <c:pt idx="51">
                  <c:v>8.2782385047523686E-3</c:v>
                </c:pt>
                <c:pt idx="52">
                  <c:v>1.0704058542129895E-2</c:v>
                </c:pt>
                <c:pt idx="53">
                  <c:v>1.2210695202083005E-2</c:v>
                </c:pt>
                <c:pt idx="54">
                  <c:v>1.3741379823053429E-2</c:v>
                </c:pt>
                <c:pt idx="55">
                  <c:v>1.4560833260008234E-2</c:v>
                </c:pt>
                <c:pt idx="56">
                  <c:v>6.6887119782094292E-3</c:v>
                </c:pt>
                <c:pt idx="57">
                  <c:v>8.1605441355979951E-3</c:v>
                </c:pt>
                <c:pt idx="58">
                  <c:v>1.0882326508231442E-2</c:v>
                </c:pt>
                <c:pt idx="59">
                  <c:v>1.2483526917400371E-2</c:v>
                </c:pt>
                <c:pt idx="60">
                  <c:v>1.3652619962110684E-2</c:v>
                </c:pt>
                <c:pt idx="61">
                  <c:v>1.6370321586528697E-2</c:v>
                </c:pt>
                <c:pt idx="62">
                  <c:v>1.7966451281371552E-2</c:v>
                </c:pt>
                <c:pt idx="63">
                  <c:v>2.0792986370452984E-2</c:v>
                </c:pt>
                <c:pt idx="64">
                  <c:v>2.5706162421989847E-2</c:v>
                </c:pt>
                <c:pt idx="65">
                  <c:v>1.0105945418681163E-2</c:v>
                </c:pt>
                <c:pt idx="66">
                  <c:v>1.2367468038604907E-2</c:v>
                </c:pt>
                <c:pt idx="67">
                  <c:v>1.6593918470694916E-2</c:v>
                </c:pt>
                <c:pt idx="68">
                  <c:v>1.9111020863761582E-2</c:v>
                </c:pt>
                <c:pt idx="69">
                  <c:v>2.0965339543041289E-2</c:v>
                </c:pt>
                <c:pt idx="70">
                  <c:v>2.5338999100684323E-2</c:v>
                </c:pt>
                <c:pt idx="71">
                  <c:v>2.7956875453789026E-2</c:v>
                </c:pt>
                <c:pt idx="72">
                  <c:v>3.2710765364001498E-2</c:v>
                </c:pt>
                <c:pt idx="73">
                  <c:v>3.8152937631262318E-2</c:v>
                </c:pt>
                <c:pt idx="74">
                  <c:v>4.1597244646492663E-2</c:v>
                </c:pt>
                <c:pt idx="75">
                  <c:v>4.6019423636569232E-2</c:v>
                </c:pt>
                <c:pt idx="76">
                  <c:v>1.7817836768271943E-2</c:v>
                </c:pt>
                <c:pt idx="77">
                  <c:v>2.4021077730790794E-2</c:v>
                </c:pt>
                <c:pt idx="78">
                  <c:v>2.7749968593968895E-2</c:v>
                </c:pt>
                <c:pt idx="79">
                  <c:v>3.0515523501181897E-2</c:v>
                </c:pt>
                <c:pt idx="80">
                  <c:v>4.111251558392974E-2</c:v>
                </c:pt>
                <c:pt idx="81">
                  <c:v>4.8516265266367382E-2</c:v>
                </c:pt>
                <c:pt idx="82">
                  <c:v>7.1138359038196611E-2</c:v>
                </c:pt>
                <c:pt idx="83">
                  <c:v>4.9013911797067378E-2</c:v>
                </c:pt>
                <c:pt idx="84">
                  <c:v>2.4672718307327066E-2</c:v>
                </c:pt>
                <c:pt idx="85">
                  <c:v>3.3389299464338239E-2</c:v>
                </c:pt>
                <c:pt idx="86">
                  <c:v>3.8667282765114365E-2</c:v>
                </c:pt>
                <c:pt idx="87">
                  <c:v>4.2602298090170181E-2</c:v>
                </c:pt>
                <c:pt idx="88">
                  <c:v>5.2064517790946098E-2</c:v>
                </c:pt>
                <c:pt idx="89">
                  <c:v>5.7870556196341093E-2</c:v>
                </c:pt>
                <c:pt idx="90">
                  <c:v>6.8761719161189477E-2</c:v>
                </c:pt>
                <c:pt idx="91">
                  <c:v>8.1842454183022537E-2</c:v>
                </c:pt>
                <c:pt idx="92">
                  <c:v>0.10431069357622361</c:v>
                </c:pt>
                <c:pt idx="93">
                  <c:v>3.3093180638498275E-2</c:v>
                </c:pt>
                <c:pt idx="94">
                  <c:v>4.4924078847156441E-2</c:v>
                </c:pt>
                <c:pt idx="95">
                  <c:v>5.2129876034290139E-2</c:v>
                </c:pt>
                <c:pt idx="96">
                  <c:v>5.7524789563643874E-2</c:v>
                </c:pt>
                <c:pt idx="97">
                  <c:v>7.8668181815570504E-2</c:v>
                </c:pt>
                <c:pt idx="98">
                  <c:v>9.3999360132106594E-2</c:v>
                </c:pt>
                <c:pt idx="99">
                  <c:v>4.3240291744513562E-2</c:v>
                </c:pt>
                <c:pt idx="100">
                  <c:v>5.8850911055064646E-2</c:v>
                </c:pt>
                <c:pt idx="101">
                  <c:v>6.8404661058588279E-2</c:v>
                </c:pt>
                <c:pt idx="102">
                  <c:v>7.5582124175240642E-2</c:v>
                </c:pt>
                <c:pt idx="103">
                  <c:v>9.305399613836543E-2</c:v>
                </c:pt>
                <c:pt idx="104">
                  <c:v>0.10394257696616534</c:v>
                </c:pt>
                <c:pt idx="105">
                  <c:v>0.12478142126275756</c:v>
                </c:pt>
                <c:pt idx="106">
                  <c:v>0.16987638803342942</c:v>
                </c:pt>
                <c:pt idx="107">
                  <c:v>7.5395291263881989E-2</c:v>
                </c:pt>
                <c:pt idx="108">
                  <c:v>8.7758550495100854E-2</c:v>
                </c:pt>
                <c:pt idx="109">
                  <c:v>9.7073428178598223E-2</c:v>
                </c:pt>
                <c:pt idx="110">
                  <c:v>0.13180036220827998</c:v>
                </c:pt>
                <c:pt idx="111">
                  <c:v>0.13413092617267305</c:v>
                </c:pt>
                <c:pt idx="112">
                  <c:v>0.16166013563678122</c:v>
                </c:pt>
                <c:pt idx="113">
                  <c:v>0.19683428978809442</c:v>
                </c:pt>
                <c:pt idx="114">
                  <c:v>0.22243919846832333</c:v>
                </c:pt>
                <c:pt idx="115">
                  <c:v>6.9358732211988364E-2</c:v>
                </c:pt>
                <c:pt idx="116">
                  <c:v>9.4782714649427696E-2</c:v>
                </c:pt>
                <c:pt idx="117">
                  <c:v>0.11045845700092018</c:v>
                </c:pt>
                <c:pt idx="118">
                  <c:v>0.12229782782735425</c:v>
                </c:pt>
                <c:pt idx="119">
                  <c:v>0.16967041395964103</c:v>
                </c:pt>
                <c:pt idx="120">
                  <c:v>0.20518773633781642</c:v>
                </c:pt>
                <c:pt idx="121">
                  <c:v>0.2849249471248525</c:v>
                </c:pt>
                <c:pt idx="122">
                  <c:v>0.25591645644950201</c:v>
                </c:pt>
                <c:pt idx="123">
                  <c:v>0.14298867165398085</c:v>
                </c:pt>
                <c:pt idx="124">
                  <c:v>0.18514241907561266</c:v>
                </c:pt>
                <c:pt idx="125">
                  <c:v>0.25855154337314745</c:v>
                </c:pt>
                <c:pt idx="126">
                  <c:v>0.31439852905547672</c:v>
                </c:pt>
                <c:pt idx="127">
                  <c:v>0.38686940343692938</c:v>
                </c:pt>
                <c:pt idx="128">
                  <c:v>0.4439584774140648</c:v>
                </c:pt>
                <c:pt idx="129">
                  <c:v>0.45683166408484954</c:v>
                </c:pt>
                <c:pt idx="130">
                  <c:v>0.79767000970053337</c:v>
                </c:pt>
                <c:pt idx="131">
                  <c:v>0.63690500609504475</c:v>
                </c:pt>
                <c:pt idx="132">
                  <c:v>1.1320778214596032</c:v>
                </c:pt>
                <c:pt idx="133">
                  <c:v>9.2681166666666679E-4</c:v>
                </c:pt>
                <c:pt idx="134">
                  <c:v>2.3593325000000006E-3</c:v>
                </c:pt>
                <c:pt idx="135">
                  <c:v>3.0320122653333323E-3</c:v>
                </c:pt>
                <c:pt idx="136">
                  <c:v>4.4387324999999997E-3</c:v>
                </c:pt>
                <c:pt idx="137">
                  <c:v>4.8090408333333369E-3</c:v>
                </c:pt>
                <c:pt idx="138">
                  <c:v>6.2878744319999997E-3</c:v>
                </c:pt>
                <c:pt idx="139">
                  <c:v>7.7125533333333336E-3</c:v>
                </c:pt>
                <c:pt idx="140">
                  <c:v>8.549374166666672E-3</c:v>
                </c:pt>
                <c:pt idx="141">
                  <c:v>1.1307736598666664E-2</c:v>
                </c:pt>
                <c:pt idx="142">
                  <c:v>1.2903135338666665E-2</c:v>
                </c:pt>
                <c:pt idx="143">
                  <c:v>1.4053574166666666E-2</c:v>
                </c:pt>
                <c:pt idx="144">
                  <c:v>1.3853770000000015E-2</c:v>
                </c:pt>
                <c:pt idx="145">
                  <c:v>1.8474411265333324E-2</c:v>
                </c:pt>
                <c:pt idx="146">
                  <c:v>2.31774075E-2</c:v>
                </c:pt>
                <c:pt idx="147">
                  <c:v>2.0995665833333354E-2</c:v>
                </c:pt>
                <c:pt idx="148">
                  <c:v>2.8170710932000003E-2</c:v>
                </c:pt>
                <c:pt idx="149">
                  <c:v>3.2443876671999994E-2</c:v>
                </c:pt>
                <c:pt idx="150">
                  <c:v>3.5591865833333326E-2</c:v>
                </c:pt>
                <c:pt idx="151">
                  <c:v>4.0779448098666703E-2</c:v>
                </c:pt>
                <c:pt idx="152">
                  <c:v>4.7109809838666694E-2</c:v>
                </c:pt>
              </c:numCache>
            </c:numRef>
          </c:yVal>
        </c:ser>
        <c:axId val="112934272"/>
        <c:axId val="112936448"/>
      </c:scatterChart>
      <c:valAx>
        <c:axId val="11293427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 (in</a:t>
                </a:r>
                <a:r>
                  <a:rPr lang="en-US" baseline="30000"/>
                  <a:t>2</a:t>
                </a:r>
                <a:r>
                  <a:rPr lang="en-US"/>
                  <a:t>)</a:t>
                </a:r>
              </a:p>
            </c:rich>
          </c:tx>
        </c:title>
        <c:numFmt formatCode="0.0000" sourceLinked="1"/>
        <c:majorTickMark val="none"/>
        <c:tickLblPos val="nextTo"/>
        <c:crossAx val="112936448"/>
        <c:crosses val="autoZero"/>
        <c:crossBetween val="midCat"/>
      </c:valAx>
      <c:valAx>
        <c:axId val="112936448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</a:t>
                </a:r>
                <a:r>
                  <a:rPr lang="en-US" baseline="-25000"/>
                  <a:t>x</a:t>
                </a:r>
                <a:r>
                  <a:rPr lang="en-US" baseline="0"/>
                  <a:t> (in</a:t>
                </a:r>
                <a:r>
                  <a:rPr lang="en-US" baseline="30000"/>
                  <a:t>4</a:t>
                </a:r>
                <a:r>
                  <a:rPr lang="en-US" baseline="0"/>
                  <a:t>)</a:t>
                </a:r>
                <a:endParaRPr lang="en-US"/>
              </a:p>
            </c:rich>
          </c:tx>
        </c:title>
        <c:numFmt formatCode="0.00000" sourceLinked="1"/>
        <c:majorTickMark val="none"/>
        <c:tickLblPos val="nextTo"/>
        <c:crossAx val="112934272"/>
        <c:crosses val="autoZero"/>
        <c:crossBetween val="midCat"/>
      </c:valAx>
    </c:plotArea>
    <c:plotVisOnly val="1"/>
    <c:dispBlanksAs val="gap"/>
  </c:chart>
  <c:printSettings>
    <c:headerFooter/>
    <c:pageMargins b="0.75000000000000566" l="0.70000000000000062" r="0.70000000000000062" t="0.75000000000000566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990600</xdr:colOff>
      <xdr:row>5</xdr:row>
      <xdr:rowOff>66674</xdr:rowOff>
    </xdr:from>
    <xdr:to>
      <xdr:col>10</xdr:col>
      <xdr:colOff>295076</xdr:colOff>
      <xdr:row>14</xdr:row>
      <xdr:rowOff>171449</xdr:rowOff>
    </xdr:to>
    <xdr:pic>
      <xdr:nvPicPr>
        <xdr:cNvPr id="2" name="Picture 1" descr="Proto.Bridge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114925" y="1019174"/>
          <a:ext cx="5419526" cy="1819275"/>
        </a:xfrm>
        <a:prstGeom prst="rect">
          <a:avLst/>
        </a:prstGeom>
      </xdr:spPr>
    </xdr:pic>
    <xdr:clientData/>
  </xdr:twoCellAnchor>
  <xdr:twoCellAnchor>
    <xdr:from>
      <xdr:col>1</xdr:col>
      <xdr:colOff>847725</xdr:colOff>
      <xdr:row>10</xdr:row>
      <xdr:rowOff>0</xdr:rowOff>
    </xdr:from>
    <xdr:to>
      <xdr:col>1</xdr:col>
      <xdr:colOff>1133475</xdr:colOff>
      <xdr:row>10</xdr:row>
      <xdr:rowOff>161925</xdr:rowOff>
    </xdr:to>
    <xdr:cxnSp macro="">
      <xdr:nvCxnSpPr>
        <xdr:cNvPr id="4" name="Straight Arrow Connector 3"/>
        <xdr:cNvCxnSpPr/>
      </xdr:nvCxnSpPr>
      <xdr:spPr>
        <a:xfrm flipH="1">
          <a:off x="1485900" y="1905000"/>
          <a:ext cx="285750" cy="161925"/>
        </a:xfrm>
        <a:prstGeom prst="straightConnector1">
          <a:avLst/>
        </a:prstGeom>
        <a:ln w="38100">
          <a:solidFill>
            <a:sysClr val="windowText" lastClr="00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428625</xdr:colOff>
      <xdr:row>9</xdr:row>
      <xdr:rowOff>180975</xdr:rowOff>
    </xdr:from>
    <xdr:to>
      <xdr:col>3</xdr:col>
      <xdr:colOff>714375</xdr:colOff>
      <xdr:row>10</xdr:row>
      <xdr:rowOff>152400</xdr:rowOff>
    </xdr:to>
    <xdr:cxnSp macro="">
      <xdr:nvCxnSpPr>
        <xdr:cNvPr id="5" name="Straight Arrow Connector 4"/>
        <xdr:cNvCxnSpPr/>
      </xdr:nvCxnSpPr>
      <xdr:spPr>
        <a:xfrm>
          <a:off x="3019425" y="1895475"/>
          <a:ext cx="285750" cy="161925"/>
        </a:xfrm>
        <a:prstGeom prst="straightConnector1">
          <a:avLst/>
        </a:prstGeom>
        <a:ln w="38100">
          <a:solidFill>
            <a:sysClr val="windowText" lastClr="00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142876</xdr:colOff>
      <xdr:row>1</xdr:row>
      <xdr:rowOff>57150</xdr:rowOff>
    </xdr:from>
    <xdr:to>
      <xdr:col>20</xdr:col>
      <xdr:colOff>381000</xdr:colOff>
      <xdr:row>12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466725</xdr:colOff>
      <xdr:row>2</xdr:row>
      <xdr:rowOff>28575</xdr:rowOff>
    </xdr:from>
    <xdr:to>
      <xdr:col>7</xdr:col>
      <xdr:colOff>371475</xdr:colOff>
      <xdr:row>3</xdr:row>
      <xdr:rowOff>123825</xdr:rowOff>
    </xdr:to>
    <xdr:sp macro="" textlink="'List Ref'!L4">
      <xdr:nvSpPr>
        <xdr:cNvPr id="3" name="TextBox 2"/>
        <xdr:cNvSpPr txBox="1"/>
      </xdr:nvSpPr>
      <xdr:spPr>
        <a:xfrm>
          <a:off x="4124325" y="409575"/>
          <a:ext cx="514350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fld id="{25693C2C-1213-4406-9325-0138D8E64D77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/>
            <a:t>A</a:t>
          </a:fld>
          <a:endParaRPr lang="en-US" sz="1100"/>
        </a:p>
      </xdr:txBody>
    </xdr:sp>
    <xdr:clientData/>
  </xdr:twoCellAnchor>
  <xdr:twoCellAnchor>
    <xdr:from>
      <xdr:col>19</xdr:col>
      <xdr:colOff>19050</xdr:colOff>
      <xdr:row>2</xdr:row>
      <xdr:rowOff>19050</xdr:rowOff>
    </xdr:from>
    <xdr:to>
      <xdr:col>19</xdr:col>
      <xdr:colOff>581025</xdr:colOff>
      <xdr:row>3</xdr:row>
      <xdr:rowOff>114300</xdr:rowOff>
    </xdr:to>
    <xdr:sp macro="" textlink="'List Ref'!L5">
      <xdr:nvSpPr>
        <xdr:cNvPr id="4" name="TextBox 3"/>
        <xdr:cNvSpPr txBox="1"/>
      </xdr:nvSpPr>
      <xdr:spPr>
        <a:xfrm>
          <a:off x="11601450" y="400050"/>
          <a:ext cx="561975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fld id="{7F65025A-D741-425F-8C5A-4476F06557CB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/>
            <a:t>C</a:t>
          </a:fld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333375</xdr:colOff>
      <xdr:row>1</xdr:row>
      <xdr:rowOff>47626</xdr:rowOff>
    </xdr:from>
    <xdr:to>
      <xdr:col>17</xdr:col>
      <xdr:colOff>314325</xdr:colOff>
      <xdr:row>10</xdr:row>
      <xdr:rowOff>171450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66675</xdr:colOff>
      <xdr:row>6</xdr:row>
      <xdr:rowOff>133350</xdr:rowOff>
    </xdr:from>
    <xdr:to>
      <xdr:col>14</xdr:col>
      <xdr:colOff>0</xdr:colOff>
      <xdr:row>8</xdr:row>
      <xdr:rowOff>38100</xdr:rowOff>
    </xdr:to>
    <xdr:sp macro="" textlink="'List Ref'!N4">
      <xdr:nvSpPr>
        <xdr:cNvPr id="3" name="TextBox 2"/>
        <xdr:cNvSpPr txBox="1"/>
      </xdr:nvSpPr>
      <xdr:spPr>
        <a:xfrm>
          <a:off x="7991475" y="1276350"/>
          <a:ext cx="542925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fld id="{6390DA80-5EAE-45B0-8A23-6C7BCB818BC7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/>
            <a:t>Left</a:t>
          </a:fld>
          <a:endParaRPr lang="en-US" sz="1100"/>
        </a:p>
      </xdr:txBody>
    </xdr:sp>
    <xdr:clientData/>
  </xdr:twoCellAnchor>
  <xdr:twoCellAnchor>
    <xdr:from>
      <xdr:col>13</xdr:col>
      <xdr:colOff>66675</xdr:colOff>
      <xdr:row>2</xdr:row>
      <xdr:rowOff>0</xdr:rowOff>
    </xdr:from>
    <xdr:to>
      <xdr:col>14</xdr:col>
      <xdr:colOff>19050</xdr:colOff>
      <xdr:row>3</xdr:row>
      <xdr:rowOff>95250</xdr:rowOff>
    </xdr:to>
    <xdr:sp macro="" textlink="'List Ref'!N5">
      <xdr:nvSpPr>
        <xdr:cNvPr id="4" name="TextBox 3"/>
        <xdr:cNvSpPr txBox="1"/>
      </xdr:nvSpPr>
      <xdr:spPr>
        <a:xfrm>
          <a:off x="7991475" y="381000"/>
          <a:ext cx="561975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fld id="{B7070165-DC96-423F-A5F1-0060D436583E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/>
            <a:t>Right</a:t>
          </a:fld>
          <a:endParaRPr lang="en-US" sz="1100"/>
        </a:p>
      </xdr:txBody>
    </xdr:sp>
    <xdr:clientData/>
  </xdr:twoCellAnchor>
  <xdr:twoCellAnchor>
    <xdr:from>
      <xdr:col>8</xdr:col>
      <xdr:colOff>409574</xdr:colOff>
      <xdr:row>4</xdr:row>
      <xdr:rowOff>85725</xdr:rowOff>
    </xdr:from>
    <xdr:to>
      <xdr:col>9</xdr:col>
      <xdr:colOff>304799</xdr:colOff>
      <xdr:row>5</xdr:row>
      <xdr:rowOff>180975</xdr:rowOff>
    </xdr:to>
    <xdr:sp macro="" textlink="'List Ref'!L4">
      <xdr:nvSpPr>
        <xdr:cNvPr id="5" name="TextBox 4"/>
        <xdr:cNvSpPr txBox="1"/>
      </xdr:nvSpPr>
      <xdr:spPr>
        <a:xfrm>
          <a:off x="5286374" y="847725"/>
          <a:ext cx="504825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fld id="{4B505556-BD17-4D40-B053-53777C3D9D94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/>
            <a:t>A</a:t>
          </a:fld>
          <a:endParaRPr lang="en-US" sz="1100"/>
        </a:p>
      </xdr:txBody>
    </xdr:sp>
    <xdr:clientData/>
  </xdr:twoCellAnchor>
  <xdr:twoCellAnchor>
    <xdr:from>
      <xdr:col>17</xdr:col>
      <xdr:colOff>371475</xdr:colOff>
      <xdr:row>4</xdr:row>
      <xdr:rowOff>114300</xdr:rowOff>
    </xdr:from>
    <xdr:to>
      <xdr:col>18</xdr:col>
      <xdr:colOff>276225</xdr:colOff>
      <xdr:row>6</xdr:row>
      <xdr:rowOff>19050</xdr:rowOff>
    </xdr:to>
    <xdr:sp macro="" textlink="'List Ref'!L5">
      <xdr:nvSpPr>
        <xdr:cNvPr id="6" name="TextBox 5"/>
        <xdr:cNvSpPr txBox="1"/>
      </xdr:nvSpPr>
      <xdr:spPr>
        <a:xfrm>
          <a:off x="10734675" y="876300"/>
          <a:ext cx="514350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fld id="{7B747134-304B-4083-A91F-3B234BC7854B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/>
            <a:t>C</a:t>
          </a:fld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47623</xdr:colOff>
      <xdr:row>6</xdr:row>
      <xdr:rowOff>76200</xdr:rowOff>
    </xdr:from>
    <xdr:to>
      <xdr:col>28</xdr:col>
      <xdr:colOff>467062</xdr:colOff>
      <xdr:row>41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Slipstream">
      <a:dk1>
        <a:sysClr val="windowText" lastClr="000000"/>
      </a:dk1>
      <a:lt1>
        <a:sysClr val="window" lastClr="FFFFFF"/>
      </a:lt1>
      <a:dk2>
        <a:srgbClr val="212745"/>
      </a:dk2>
      <a:lt2>
        <a:srgbClr val="B4DCFA"/>
      </a:lt2>
      <a:accent1>
        <a:srgbClr val="4E67C8"/>
      </a:accent1>
      <a:accent2>
        <a:srgbClr val="5ECCF3"/>
      </a:accent2>
      <a:accent3>
        <a:srgbClr val="A7EA52"/>
      </a:accent3>
      <a:accent4>
        <a:srgbClr val="5DCEAF"/>
      </a:accent4>
      <a:accent5>
        <a:srgbClr val="FF8021"/>
      </a:accent5>
      <a:accent6>
        <a:srgbClr val="F14124"/>
      </a:accent6>
      <a:hlink>
        <a:srgbClr val="56C7AA"/>
      </a:hlink>
      <a:folHlink>
        <a:srgbClr val="59A8D1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bdgiffin@ucdavis.edu" TargetMode="External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1" Type="http://schemas.openxmlformats.org/officeDocument/2006/relationships/vmlDrawing" Target="../drawings/vmlDrawing5.v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7" Type="http://schemas.openxmlformats.org/officeDocument/2006/relationships/ctrlProp" Target="../ctrlProps/ctrlProp17.xml"/><Relationship Id="rId1" Type="http://schemas.openxmlformats.org/officeDocument/2006/relationships/vmlDrawing" Target="../drawings/vmlDrawing6.v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FF0000"/>
  </sheetPr>
  <dimension ref="A1:CA30"/>
  <sheetViews>
    <sheetView topLeftCell="A7" workbookViewId="0"/>
  </sheetViews>
  <sheetFormatPr defaultRowHeight="15"/>
  <cols>
    <col min="1" max="1" width="9.5703125" customWidth="1"/>
    <col min="2" max="2" width="23.28515625" customWidth="1"/>
    <col min="3" max="3" width="6" customWidth="1"/>
    <col min="4" max="4" width="23" customWidth="1"/>
    <col min="5" max="19" width="15.28515625" customWidth="1"/>
  </cols>
  <sheetData>
    <row r="1" spans="1:79">
      <c r="D1" s="18" t="s">
        <v>1</v>
      </c>
      <c r="E1" s="28">
        <v>14</v>
      </c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  <c r="AW1" s="28"/>
      <c r="AX1" s="28"/>
      <c r="AY1" s="28"/>
      <c r="AZ1" s="28"/>
      <c r="BA1" s="28"/>
      <c r="BB1" s="28"/>
      <c r="BC1" s="28"/>
      <c r="BD1" s="28"/>
      <c r="BE1" s="28"/>
      <c r="BF1" s="28"/>
      <c r="BG1" s="28"/>
      <c r="BH1" s="28"/>
      <c r="BI1" s="28"/>
      <c r="BJ1" s="28"/>
      <c r="BK1" s="28"/>
      <c r="BL1" s="28"/>
      <c r="BM1" s="28"/>
      <c r="BN1" s="28"/>
      <c r="BO1" s="28"/>
      <c r="BP1" s="28"/>
      <c r="BQ1" s="28"/>
      <c r="BR1" s="28"/>
      <c r="BS1" s="28"/>
      <c r="BT1" s="28"/>
      <c r="BU1" s="28"/>
      <c r="BV1" s="28"/>
      <c r="BW1" s="28"/>
      <c r="BX1" s="28"/>
      <c r="BY1" s="28"/>
      <c r="BZ1" s="28"/>
      <c r="CA1" s="28"/>
    </row>
    <row r="2" spans="1:79">
      <c r="D2" s="18" t="s">
        <v>0</v>
      </c>
      <c r="E2" s="28">
        <v>1</v>
      </c>
      <c r="F2" s="28">
        <v>2</v>
      </c>
      <c r="G2" s="28">
        <v>3</v>
      </c>
      <c r="H2" s="28">
        <v>4</v>
      </c>
      <c r="I2" s="28">
        <v>5</v>
      </c>
      <c r="J2" s="28">
        <v>6</v>
      </c>
      <c r="K2" s="28">
        <v>7</v>
      </c>
      <c r="L2" s="28">
        <v>8</v>
      </c>
      <c r="M2" s="28">
        <v>9</v>
      </c>
      <c r="N2" s="28">
        <v>10</v>
      </c>
      <c r="O2" s="28">
        <v>11</v>
      </c>
      <c r="P2" s="28">
        <v>12</v>
      </c>
      <c r="Q2" s="28">
        <v>13</v>
      </c>
      <c r="R2" s="28">
        <v>14</v>
      </c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  <c r="BN2" s="28"/>
      <c r="BO2" s="28"/>
      <c r="BP2" s="28"/>
      <c r="BQ2" s="28"/>
      <c r="BR2" s="28"/>
      <c r="BS2" s="28"/>
      <c r="BT2" s="28"/>
      <c r="BU2" s="28"/>
      <c r="BV2" s="28"/>
      <c r="BW2" s="28"/>
      <c r="BX2" s="28"/>
      <c r="BY2" s="28"/>
      <c r="BZ2" s="28"/>
      <c r="CA2" s="28"/>
    </row>
    <row r="3" spans="1:79">
      <c r="D3" s="18" t="s">
        <v>4</v>
      </c>
      <c r="E3" s="28" t="s">
        <v>299</v>
      </c>
      <c r="F3" s="28" t="s">
        <v>300</v>
      </c>
      <c r="G3" s="28" t="s">
        <v>333</v>
      </c>
      <c r="H3" s="28" t="s">
        <v>334</v>
      </c>
      <c r="I3" s="28" t="s">
        <v>335</v>
      </c>
      <c r="J3" s="28" t="s">
        <v>336</v>
      </c>
      <c r="K3" s="28" t="s">
        <v>337</v>
      </c>
      <c r="L3" s="28" t="s">
        <v>338</v>
      </c>
      <c r="M3" s="28" t="s">
        <v>339</v>
      </c>
      <c r="N3" s="28" t="s">
        <v>340</v>
      </c>
      <c r="O3" s="28" t="s">
        <v>341</v>
      </c>
      <c r="P3" s="28" t="s">
        <v>342</v>
      </c>
      <c r="Q3" s="28" t="s">
        <v>343</v>
      </c>
      <c r="R3" s="28" t="s">
        <v>344</v>
      </c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  <c r="BN3" s="28"/>
      <c r="BO3" s="28"/>
      <c r="BP3" s="28"/>
      <c r="BQ3" s="28"/>
      <c r="BR3" s="28"/>
      <c r="BS3" s="28"/>
      <c r="BT3" s="28"/>
      <c r="BU3" s="28"/>
      <c r="BV3" s="28"/>
      <c r="BW3" s="28"/>
      <c r="BX3" s="28"/>
      <c r="BY3" s="28"/>
      <c r="BZ3" s="28"/>
      <c r="CA3" s="28"/>
    </row>
    <row r="4" spans="1:79">
      <c r="D4" s="18" t="s">
        <v>22</v>
      </c>
      <c r="E4" s="28">
        <v>12</v>
      </c>
      <c r="F4" s="28">
        <v>130</v>
      </c>
      <c r="G4" s="28">
        <v>0</v>
      </c>
      <c r="H4" s="28">
        <v>52</v>
      </c>
      <c r="I4" s="28">
        <v>14</v>
      </c>
      <c r="J4" s="28">
        <v>56</v>
      </c>
      <c r="K4" s="28">
        <v>56</v>
      </c>
      <c r="L4" s="28">
        <v>6</v>
      </c>
      <c r="M4" s="28">
        <v>8</v>
      </c>
      <c r="N4" s="28">
        <v>22</v>
      </c>
      <c r="O4" s="28">
        <v>4</v>
      </c>
      <c r="P4" s="28">
        <v>16</v>
      </c>
      <c r="Q4" s="28">
        <v>68</v>
      </c>
      <c r="R4" s="28">
        <v>13</v>
      </c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  <c r="BN4" s="28"/>
      <c r="BO4" s="28"/>
      <c r="BP4" s="28"/>
      <c r="BQ4" s="28"/>
      <c r="BR4" s="28"/>
      <c r="BS4" s="28"/>
      <c r="BT4" s="28"/>
      <c r="BU4" s="28"/>
      <c r="BV4" s="28"/>
      <c r="BW4" s="28"/>
      <c r="BX4" s="28"/>
      <c r="BY4" s="28"/>
      <c r="BZ4" s="28"/>
      <c r="CA4" s="28"/>
    </row>
    <row r="5" spans="1:79">
      <c r="D5" s="18" t="s">
        <v>23</v>
      </c>
      <c r="E5" s="28">
        <v>457</v>
      </c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  <c r="BN5" s="28"/>
      <c r="BO5" s="28"/>
      <c r="BP5" s="28"/>
      <c r="BQ5" s="28"/>
      <c r="BR5" s="28"/>
      <c r="BS5" s="28"/>
      <c r="BT5" s="28"/>
      <c r="BU5" s="28"/>
      <c r="BV5" s="28"/>
      <c r="BW5" s="28"/>
      <c r="BX5" s="28"/>
      <c r="BY5" s="28"/>
      <c r="BZ5" s="28"/>
      <c r="CA5" s="28"/>
    </row>
    <row r="6" spans="1:79">
      <c r="A6" s="19" t="s">
        <v>5</v>
      </c>
      <c r="B6" s="28" t="s">
        <v>332</v>
      </c>
    </row>
    <row r="7" spans="1:79">
      <c r="A7" s="19" t="s">
        <v>2</v>
      </c>
      <c r="B7" s="28" t="s">
        <v>331</v>
      </c>
    </row>
    <row r="13" spans="1:79">
      <c r="C13" s="39" t="s">
        <v>267</v>
      </c>
      <c r="F13" s="37" t="s">
        <v>266</v>
      </c>
      <c r="G13" s="38" t="s">
        <v>318</v>
      </c>
    </row>
    <row r="18" spans="2:3">
      <c r="B18" s="16" t="s">
        <v>214</v>
      </c>
      <c r="C18" t="s">
        <v>326</v>
      </c>
    </row>
    <row r="19" spans="2:3">
      <c r="C19" t="s">
        <v>327</v>
      </c>
    </row>
    <row r="20" spans="2:3">
      <c r="C20" t="s">
        <v>325</v>
      </c>
    </row>
    <row r="21" spans="2:3">
      <c r="C21" t="s">
        <v>319</v>
      </c>
    </row>
    <row r="22" spans="2:3">
      <c r="C22" t="s">
        <v>320</v>
      </c>
    </row>
    <row r="23" spans="2:3">
      <c r="C23" t="s">
        <v>321</v>
      </c>
    </row>
    <row r="24" spans="2:3">
      <c r="C24" t="s">
        <v>322</v>
      </c>
    </row>
    <row r="25" spans="2:3">
      <c r="C25" t="s">
        <v>323</v>
      </c>
    </row>
    <row r="26" spans="2:3">
      <c r="C26" t="s">
        <v>324</v>
      </c>
    </row>
    <row r="28" spans="2:3">
      <c r="C28" t="s">
        <v>215</v>
      </c>
    </row>
    <row r="29" spans="2:3">
      <c r="C29" t="s">
        <v>216</v>
      </c>
    </row>
    <row r="30" spans="2:3">
      <c r="C30" s="17" t="s">
        <v>217</v>
      </c>
    </row>
  </sheetData>
  <hyperlinks>
    <hyperlink ref="C30" r:id="rId1"/>
  </hyperlinks>
  <pageMargins left="0.7" right="0.7" top="0.75" bottom="0.75" header="0.3" footer="0.3"/>
  <pageSetup orientation="portrait" r:id="rId2"/>
  <drawing r:id="rId3"/>
  <legacyDrawing r:id="rId4"/>
  <controls>
    <control shapeId="1049" r:id="rId5" name="CheckBox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>
    <tabColor rgb="FFFFC000"/>
  </sheetPr>
  <dimension ref="B3:H19"/>
  <sheetViews>
    <sheetView workbookViewId="0">
      <selection activeCell="M19" sqref="M19"/>
    </sheetView>
  </sheetViews>
  <sheetFormatPr defaultRowHeight="15"/>
  <sheetData>
    <row r="3" spans="2:8">
      <c r="D3" s="2"/>
      <c r="E3" s="2"/>
      <c r="G3" s="2"/>
      <c r="H3" s="2"/>
    </row>
    <row r="4" spans="2:8" ht="15.75" thickBot="1">
      <c r="C4" s="19" t="s">
        <v>9</v>
      </c>
      <c r="D4" s="19" t="s">
        <v>7</v>
      </c>
      <c r="E4" s="19" t="s">
        <v>8</v>
      </c>
    </row>
    <row r="5" spans="2:8" ht="15.75" thickBot="1">
      <c r="B5" s="20" t="s">
        <v>10</v>
      </c>
      <c r="C5" s="9" t="s">
        <v>13</v>
      </c>
      <c r="D5" s="10" t="s">
        <v>12</v>
      </c>
      <c r="E5" s="6" t="s">
        <v>17</v>
      </c>
    </row>
    <row r="6" spans="2:8">
      <c r="B6" s="20" t="s">
        <v>11</v>
      </c>
      <c r="C6" s="7" t="s">
        <v>14</v>
      </c>
      <c r="D6" s="8" t="s">
        <v>12</v>
      </c>
      <c r="E6" s="5" t="s">
        <v>13</v>
      </c>
    </row>
    <row r="14" spans="2:8">
      <c r="C14" t="s">
        <v>193</v>
      </c>
    </row>
    <row r="16" spans="2:8">
      <c r="C16" s="1" t="s">
        <v>194</v>
      </c>
    </row>
    <row r="17" spans="3:3">
      <c r="C17" t="s">
        <v>260</v>
      </c>
    </row>
    <row r="19" spans="3:3">
      <c r="C19" t="s">
        <v>261</v>
      </c>
    </row>
  </sheetData>
  <dataValidations count="1">
    <dataValidation type="list" allowBlank="1" showInputMessage="1" showErrorMessage="1" sqref="C5 D5">
      <formula1>'List Ref'!E4:E9</formula1>
    </dataValidation>
  </dataValidations>
  <pageMargins left="0.7" right="0.7" top="0.75" bottom="0.75" header="0.3" footer="0.3"/>
  <drawing r:id="rId1"/>
  <legacyDrawing r:id="rId2"/>
  <extLst xmlns:x14="http://schemas.microsoft.com/office/spreadsheetml/2009/9/main">
    <ext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 Ref'!E4:E9</xm:f>
          </x14:formula1>
          <xm:sqref>C5:D5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6">
    <tabColor rgb="FFFFFF00"/>
  </sheetPr>
  <dimension ref="B2:L22"/>
  <sheetViews>
    <sheetView workbookViewId="0"/>
  </sheetViews>
  <sheetFormatPr defaultRowHeight="15"/>
  <sheetData>
    <row r="2" spans="2:11">
      <c r="E2" s="18" t="s">
        <v>203</v>
      </c>
      <c r="F2" s="26">
        <v>4</v>
      </c>
    </row>
    <row r="3" spans="2:11">
      <c r="E3" s="18" t="s">
        <v>204</v>
      </c>
      <c r="F3" s="26">
        <v>1</v>
      </c>
    </row>
    <row r="5" spans="2:11">
      <c r="C5" s="21" t="s">
        <v>202</v>
      </c>
      <c r="D5" t="s">
        <v>209</v>
      </c>
      <c r="E5" t="s">
        <v>210</v>
      </c>
      <c r="F5" t="s">
        <v>211</v>
      </c>
    </row>
    <row r="6" spans="2:11">
      <c r="B6" s="22" t="s">
        <v>208</v>
      </c>
      <c r="C6" s="27" t="s">
        <v>206</v>
      </c>
      <c r="D6" s="27" t="s">
        <v>206</v>
      </c>
      <c r="E6" s="27" t="s">
        <v>206</v>
      </c>
      <c r="F6" s="27" t="s">
        <v>206</v>
      </c>
    </row>
    <row r="13" spans="2:11">
      <c r="K13" t="s">
        <v>212</v>
      </c>
    </row>
    <row r="14" spans="2:11">
      <c r="K14" t="s">
        <v>213</v>
      </c>
    </row>
    <row r="19" spans="12:12">
      <c r="L19" s="1"/>
    </row>
    <row r="20" spans="12:12">
      <c r="L20" s="1"/>
    </row>
    <row r="21" spans="12:12">
      <c r="L21" s="1"/>
    </row>
    <row r="22" spans="12:12">
      <c r="L22" s="1"/>
    </row>
  </sheetData>
  <pageMargins left="0.7" right="0.7" top="0.75" bottom="0.75" header="0.3" footer="0.3"/>
  <drawing r:id="rId1"/>
  <legacyDrawing r:id="rId2"/>
  <extLst xmlns:x14="http://schemas.microsoft.com/office/spreadsheetml/2009/9/main">
    <ext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 Ref'!$J$4:$J$5</xm:f>
          </x14:formula1>
          <xm:sqref>C6:F6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>
    <tabColor rgb="FF92D050"/>
  </sheetPr>
  <dimension ref="A2:F16"/>
  <sheetViews>
    <sheetView tabSelected="1" workbookViewId="0">
      <selection activeCell="E17" sqref="E17"/>
    </sheetView>
  </sheetViews>
  <sheetFormatPr defaultRowHeight="15"/>
  <cols>
    <col min="1" max="1" width="14.7109375" customWidth="1"/>
    <col min="2" max="2" width="30.7109375" customWidth="1"/>
    <col min="3" max="3" width="15" customWidth="1"/>
    <col min="4" max="4" width="14.28515625" hidden="1" customWidth="1"/>
    <col min="5" max="7" width="15" customWidth="1"/>
    <col min="8" max="8" width="15.42578125" customWidth="1"/>
  </cols>
  <sheetData>
    <row r="2" spans="1:6">
      <c r="A2" s="21" t="s">
        <v>259</v>
      </c>
      <c r="B2" s="21" t="s">
        <v>257</v>
      </c>
      <c r="C2" s="21" t="s">
        <v>258</v>
      </c>
      <c r="D2" s="36"/>
      <c r="E2" s="35"/>
    </row>
    <row r="3" spans="1:6">
      <c r="A3">
        <v>1</v>
      </c>
      <c r="B3" t="s">
        <v>299</v>
      </c>
      <c r="C3" s="27" t="s">
        <v>108</v>
      </c>
      <c r="E3" s="27"/>
      <c r="F3" t="s">
        <v>195</v>
      </c>
    </row>
    <row r="4" spans="1:6">
      <c r="A4">
        <v>2</v>
      </c>
      <c r="B4" t="s">
        <v>300</v>
      </c>
      <c r="C4" s="27" t="s">
        <v>45</v>
      </c>
      <c r="E4" s="27"/>
      <c r="F4" t="s">
        <v>196</v>
      </c>
    </row>
    <row r="5" spans="1:6">
      <c r="A5">
        <v>3</v>
      </c>
      <c r="B5" t="s">
        <v>333</v>
      </c>
      <c r="C5" s="27" t="s">
        <v>45</v>
      </c>
      <c r="E5" s="27"/>
    </row>
    <row r="6" spans="1:6">
      <c r="A6">
        <v>4</v>
      </c>
      <c r="B6" t="s">
        <v>334</v>
      </c>
      <c r="C6" s="27" t="s">
        <v>70</v>
      </c>
      <c r="E6" s="27"/>
      <c r="F6" t="s">
        <v>197</v>
      </c>
    </row>
    <row r="7" spans="1:6">
      <c r="A7">
        <v>5</v>
      </c>
      <c r="B7" t="s">
        <v>335</v>
      </c>
      <c r="C7" s="27" t="s">
        <v>108</v>
      </c>
      <c r="E7" s="27"/>
    </row>
    <row r="8" spans="1:6">
      <c r="A8">
        <v>6</v>
      </c>
      <c r="B8" t="s">
        <v>336</v>
      </c>
      <c r="C8" s="27" t="s">
        <v>70</v>
      </c>
      <c r="E8" s="27"/>
    </row>
    <row r="9" spans="1:6">
      <c r="A9">
        <v>7</v>
      </c>
      <c r="B9" t="s">
        <v>337</v>
      </c>
      <c r="C9" s="27" t="s">
        <v>57</v>
      </c>
    </row>
    <row r="10" spans="1:6">
      <c r="A10">
        <v>8</v>
      </c>
      <c r="B10" t="s">
        <v>338</v>
      </c>
      <c r="C10" s="27" t="s">
        <v>57</v>
      </c>
      <c r="F10" t="s">
        <v>255</v>
      </c>
    </row>
    <row r="11" spans="1:6">
      <c r="A11">
        <v>9</v>
      </c>
      <c r="B11" t="s">
        <v>339</v>
      </c>
      <c r="C11" s="27" t="s">
        <v>57</v>
      </c>
      <c r="F11" t="s">
        <v>198</v>
      </c>
    </row>
    <row r="12" spans="1:6">
      <c r="A12">
        <v>10</v>
      </c>
      <c r="B12" t="s">
        <v>340</v>
      </c>
      <c r="C12" s="27" t="s">
        <v>45</v>
      </c>
      <c r="F12" t="s">
        <v>256</v>
      </c>
    </row>
    <row r="13" spans="1:6">
      <c r="A13">
        <v>11</v>
      </c>
      <c r="B13" t="s">
        <v>341</v>
      </c>
      <c r="C13" s="27" t="s">
        <v>90</v>
      </c>
      <c r="F13" t="s">
        <v>199</v>
      </c>
    </row>
    <row r="14" spans="1:6">
      <c r="A14">
        <v>12</v>
      </c>
      <c r="B14" t="s">
        <v>342</v>
      </c>
      <c r="C14" s="27" t="s">
        <v>47</v>
      </c>
      <c r="F14" t="s">
        <v>200</v>
      </c>
    </row>
    <row r="15" spans="1:6">
      <c r="A15">
        <v>13</v>
      </c>
      <c r="B15" t="s">
        <v>343</v>
      </c>
      <c r="C15" s="27" t="s">
        <v>45</v>
      </c>
    </row>
    <row r="16" spans="1:6">
      <c r="A16">
        <v>14</v>
      </c>
      <c r="B16" t="s">
        <v>344</v>
      </c>
      <c r="C16" s="27" t="s">
        <v>57</v>
      </c>
    </row>
  </sheetData>
  <dataValidations count="1">
    <dataValidation type="list" allowBlank="1" showInputMessage="1" showErrorMessage="1" sqref="C3:C16">
      <formula1>'Tubing Database'!$A$2:$A$154</formula1>
    </dataValidation>
  </dataValidations>
  <pageMargins left="0.7" right="0.7" top="0.75" bottom="0.75" header="0.3" footer="0.3"/>
  <legacyDrawing r:id="rId1"/>
  <extLst xmlns:x14="http://schemas.microsoft.com/office/spreadsheetml/2009/9/main">
    <ext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'Tubing Database'!$A$2:$A$256</xm:f>
          </x14:formula1>
          <xm:sqref>C3:C7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9">
    <tabColor rgb="FF00B0F0"/>
  </sheetPr>
  <dimension ref="B2:Q30"/>
  <sheetViews>
    <sheetView workbookViewId="0">
      <selection activeCell="F17" sqref="F17"/>
    </sheetView>
  </sheetViews>
  <sheetFormatPr defaultRowHeight="15"/>
  <cols>
    <col min="2" max="2" width="8" customWidth="1"/>
    <col min="3" max="3" width="16" customWidth="1"/>
    <col min="4" max="4" width="11.7109375" customWidth="1"/>
    <col min="5" max="5" width="5.7109375" customWidth="1"/>
    <col min="6" max="6" width="19.42578125" customWidth="1"/>
    <col min="9" max="10" width="10.7109375" customWidth="1"/>
  </cols>
  <sheetData>
    <row r="2" spans="2:17">
      <c r="E2" s="18" t="s">
        <v>240</v>
      </c>
      <c r="F2" s="27">
        <v>18</v>
      </c>
    </row>
    <row r="3" spans="2:17">
      <c r="E3" s="18" t="s">
        <v>232</v>
      </c>
      <c r="F3" s="28" t="s">
        <v>335</v>
      </c>
    </row>
    <row r="5" spans="2:17">
      <c r="B5" s="23" t="s">
        <v>237</v>
      </c>
      <c r="C5" s="21" t="s">
        <v>238</v>
      </c>
      <c r="D5" s="21" t="s">
        <v>219</v>
      </c>
      <c r="E5" s="21" t="s">
        <v>218</v>
      </c>
      <c r="F5" s="21" t="s">
        <v>239</v>
      </c>
      <c r="I5" s="60" t="s">
        <v>268</v>
      </c>
      <c r="J5" s="60"/>
      <c r="K5">
        <f>20*12+2.25</f>
        <v>242.25</v>
      </c>
    </row>
    <row r="6" spans="2:17">
      <c r="B6" s="24">
        <v>1</v>
      </c>
      <c r="C6" s="27" t="s">
        <v>272</v>
      </c>
      <c r="D6" s="27" t="s">
        <v>271</v>
      </c>
      <c r="E6" s="27" t="s">
        <v>228</v>
      </c>
      <c r="F6" s="27">
        <v>12</v>
      </c>
    </row>
    <row r="7" spans="2:17">
      <c r="B7" s="24">
        <v>2</v>
      </c>
      <c r="C7" s="27" t="s">
        <v>273</v>
      </c>
      <c r="D7" s="27" t="s">
        <v>222</v>
      </c>
      <c r="E7" s="27" t="s">
        <v>228</v>
      </c>
      <c r="F7" s="27">
        <f>7*12</f>
        <v>84</v>
      </c>
    </row>
    <row r="8" spans="2:17">
      <c r="B8" s="24">
        <v>3</v>
      </c>
      <c r="C8" s="27" t="s">
        <v>274</v>
      </c>
      <c r="D8" s="27" t="s">
        <v>222</v>
      </c>
      <c r="E8" s="27" t="s">
        <v>229</v>
      </c>
      <c r="F8" s="27">
        <f>8*12+6</f>
        <v>102</v>
      </c>
    </row>
    <row r="9" spans="2:17">
      <c r="B9" s="24">
        <v>4</v>
      </c>
      <c r="C9" s="27" t="s">
        <v>275</v>
      </c>
      <c r="D9" s="27" t="s">
        <v>222</v>
      </c>
      <c r="E9" s="27" t="s">
        <v>228</v>
      </c>
      <c r="F9" s="27">
        <f>8*12</f>
        <v>96</v>
      </c>
      <c r="N9" s="27"/>
      <c r="O9" s="27"/>
      <c r="P9" s="27"/>
      <c r="Q9" s="27"/>
    </row>
    <row r="10" spans="2:17">
      <c r="B10" s="24">
        <v>5</v>
      </c>
      <c r="C10" s="27" t="s">
        <v>276</v>
      </c>
      <c r="D10" s="27" t="s">
        <v>222</v>
      </c>
      <c r="E10" s="27" t="s">
        <v>229</v>
      </c>
      <c r="F10" s="27">
        <f>9*12+6</f>
        <v>114</v>
      </c>
      <c r="N10" s="27"/>
      <c r="O10" s="27"/>
      <c r="P10" s="27"/>
      <c r="Q10" s="27"/>
    </row>
    <row r="11" spans="2:17">
      <c r="B11" s="24">
        <v>6</v>
      </c>
      <c r="C11" s="27" t="s">
        <v>277</v>
      </c>
      <c r="D11" s="27" t="s">
        <v>222</v>
      </c>
      <c r="E11" s="27" t="s">
        <v>228</v>
      </c>
      <c r="F11" s="27">
        <f>10*12</f>
        <v>120</v>
      </c>
      <c r="I11" t="s">
        <v>279</v>
      </c>
      <c r="N11" s="27"/>
      <c r="O11" s="27"/>
      <c r="P11" s="27"/>
      <c r="Q11" s="27"/>
    </row>
    <row r="12" spans="2:17">
      <c r="B12" s="24">
        <v>7</v>
      </c>
      <c r="C12" s="27" t="s">
        <v>278</v>
      </c>
      <c r="D12" s="27" t="s">
        <v>222</v>
      </c>
      <c r="E12" s="27" t="s">
        <v>229</v>
      </c>
      <c r="F12" s="27">
        <f>11*12+6</f>
        <v>138</v>
      </c>
      <c r="N12" s="27"/>
      <c r="O12" s="27"/>
      <c r="P12" s="27"/>
      <c r="Q12" s="27"/>
    </row>
    <row r="13" spans="2:17">
      <c r="B13" s="24">
        <v>8</v>
      </c>
      <c r="C13" s="27" t="s">
        <v>269</v>
      </c>
      <c r="D13" s="27" t="s">
        <v>222</v>
      </c>
      <c r="E13" s="27" t="s">
        <v>228</v>
      </c>
      <c r="F13" s="27">
        <f>9*12</f>
        <v>108</v>
      </c>
      <c r="N13" s="27"/>
      <c r="O13" s="27"/>
      <c r="P13" s="27"/>
      <c r="Q13" s="27"/>
    </row>
    <row r="14" spans="2:17">
      <c r="B14" s="24">
        <v>9</v>
      </c>
      <c r="C14" s="27" t="s">
        <v>270</v>
      </c>
      <c r="D14" s="27" t="s">
        <v>271</v>
      </c>
      <c r="E14" s="27" t="s">
        <v>228</v>
      </c>
      <c r="F14" s="27">
        <v>0</v>
      </c>
      <c r="N14" s="27"/>
      <c r="O14" s="27"/>
      <c r="P14" s="27"/>
      <c r="Q14" s="27"/>
    </row>
    <row r="15" spans="2:17">
      <c r="B15" s="24">
        <v>10</v>
      </c>
      <c r="C15" s="27" t="s">
        <v>293</v>
      </c>
      <c r="D15" s="27" t="s">
        <v>222</v>
      </c>
      <c r="E15" s="27" t="s">
        <v>229</v>
      </c>
      <c r="F15" s="27">
        <f>9*12</f>
        <v>108</v>
      </c>
      <c r="N15" s="27"/>
      <c r="O15" s="27"/>
      <c r="P15" s="27"/>
      <c r="Q15" s="27"/>
    </row>
    <row r="16" spans="2:17">
      <c r="B16" s="24">
        <v>11</v>
      </c>
      <c r="C16" s="27" t="s">
        <v>294</v>
      </c>
      <c r="D16" s="27" t="s">
        <v>271</v>
      </c>
      <c r="E16" s="27" t="s">
        <v>229</v>
      </c>
      <c r="F16" s="27">
        <v>0</v>
      </c>
      <c r="N16" s="27"/>
      <c r="O16" s="27"/>
      <c r="P16" s="27"/>
      <c r="Q16" s="27"/>
    </row>
    <row r="17" spans="2:17">
      <c r="B17" s="24">
        <v>12</v>
      </c>
      <c r="C17" s="27" t="s">
        <v>345</v>
      </c>
      <c r="D17" s="27" t="s">
        <v>271</v>
      </c>
      <c r="E17" s="27" t="s">
        <v>229</v>
      </c>
      <c r="F17" s="27">
        <f>12</f>
        <v>12</v>
      </c>
      <c r="M17" s="27"/>
      <c r="N17" s="27"/>
      <c r="O17" s="27"/>
      <c r="P17" s="27"/>
      <c r="Q17" s="27"/>
    </row>
    <row r="18" spans="2:17">
      <c r="B18" s="24">
        <v>13</v>
      </c>
      <c r="C18" s="27" t="s">
        <v>346</v>
      </c>
      <c r="D18" s="27" t="s">
        <v>222</v>
      </c>
      <c r="E18" s="27" t="s">
        <v>229</v>
      </c>
      <c r="F18" s="27">
        <f>7*12</f>
        <v>84</v>
      </c>
      <c r="N18" s="27"/>
      <c r="O18" s="27"/>
      <c r="P18" s="27"/>
      <c r="Q18" s="27"/>
    </row>
    <row r="19" spans="2:17">
      <c r="B19" s="24">
        <v>14</v>
      </c>
      <c r="C19" s="27" t="s">
        <v>347</v>
      </c>
      <c r="D19" s="27" t="s">
        <v>222</v>
      </c>
      <c r="E19" s="27" t="s">
        <v>228</v>
      </c>
      <c r="F19" s="27">
        <f>8*12+6</f>
        <v>102</v>
      </c>
      <c r="N19" s="27"/>
      <c r="O19" s="27"/>
      <c r="P19" s="27"/>
      <c r="Q19" s="27"/>
    </row>
    <row r="20" spans="2:17">
      <c r="B20" s="24">
        <v>15</v>
      </c>
      <c r="C20" s="27" t="s">
        <v>348</v>
      </c>
      <c r="D20" s="27" t="s">
        <v>222</v>
      </c>
      <c r="E20" s="27" t="s">
        <v>229</v>
      </c>
      <c r="F20" s="27">
        <f>8*12</f>
        <v>96</v>
      </c>
      <c r="N20" s="27"/>
      <c r="O20" s="27"/>
      <c r="P20" s="27"/>
      <c r="Q20" s="27"/>
    </row>
    <row r="21" spans="2:17">
      <c r="B21" s="24">
        <v>16</v>
      </c>
      <c r="C21" s="27" t="s">
        <v>349</v>
      </c>
      <c r="D21" s="27" t="s">
        <v>222</v>
      </c>
      <c r="E21" s="27" t="s">
        <v>228</v>
      </c>
      <c r="F21" s="27">
        <f>9*12+6</f>
        <v>114</v>
      </c>
      <c r="N21" s="27"/>
      <c r="O21" s="27"/>
      <c r="P21" s="27"/>
      <c r="Q21" s="27"/>
    </row>
    <row r="22" spans="2:17">
      <c r="B22" s="24">
        <v>17</v>
      </c>
      <c r="C22" s="27" t="s">
        <v>350</v>
      </c>
      <c r="D22" s="27" t="s">
        <v>222</v>
      </c>
      <c r="E22" s="27" t="s">
        <v>229</v>
      </c>
      <c r="F22" s="27">
        <f>10*12</f>
        <v>120</v>
      </c>
      <c r="N22" s="27"/>
      <c r="O22" s="27"/>
      <c r="P22" s="27"/>
      <c r="Q22" s="27"/>
    </row>
    <row r="23" spans="2:17">
      <c r="B23" s="24">
        <v>18</v>
      </c>
      <c r="C23" s="27" t="s">
        <v>351</v>
      </c>
      <c r="D23" s="27" t="s">
        <v>222</v>
      </c>
      <c r="E23" s="27" t="s">
        <v>228</v>
      </c>
      <c r="F23" s="27">
        <f>11*12+6</f>
        <v>138</v>
      </c>
      <c r="N23" s="27"/>
      <c r="O23" s="27"/>
      <c r="P23" s="27"/>
      <c r="Q23" s="27"/>
    </row>
    <row r="24" spans="2:17">
      <c r="N24" s="27"/>
      <c r="O24" s="27"/>
      <c r="P24" s="27"/>
      <c r="Q24" s="27"/>
    </row>
    <row r="25" spans="2:17">
      <c r="N25" s="27"/>
      <c r="O25" s="27"/>
      <c r="P25" s="27"/>
      <c r="Q25" s="27"/>
    </row>
    <row r="26" spans="2:17">
      <c r="N26" s="27"/>
      <c r="O26" s="27"/>
      <c r="P26" s="27"/>
      <c r="Q26" s="27"/>
    </row>
    <row r="27" spans="2:17">
      <c r="N27" s="27"/>
      <c r="O27" s="27"/>
      <c r="P27" s="27"/>
      <c r="Q27" s="27"/>
    </row>
    <row r="28" spans="2:17">
      <c r="N28" s="27"/>
      <c r="O28" s="27"/>
      <c r="P28" s="27"/>
      <c r="Q28" s="27"/>
    </row>
    <row r="29" spans="2:17">
      <c r="N29" s="27"/>
      <c r="O29" s="27"/>
      <c r="P29" s="27"/>
      <c r="Q29" s="27"/>
    </row>
    <row r="30" spans="2:17">
      <c r="N30" s="27"/>
      <c r="O30" s="27"/>
      <c r="P30" s="27"/>
      <c r="Q30" s="27"/>
    </row>
  </sheetData>
  <mergeCells count="1">
    <mergeCell ref="I5:J5"/>
  </mergeCells>
  <dataValidations count="2">
    <dataValidation type="list" allowBlank="1" showInputMessage="1" showErrorMessage="1" sqref="D6:D23">
      <formula1>'List Ref'!$L$4:$L$5</formula1>
    </dataValidation>
    <dataValidation type="list" allowBlank="1" showInputMessage="1" showErrorMessage="1" sqref="E6:E23">
      <formula1>'List Ref'!$N$4:$N$6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8">
    <tabColor rgb="FF7030A0"/>
  </sheetPr>
  <dimension ref="B2:R42"/>
  <sheetViews>
    <sheetView topLeftCell="F1" zoomScale="90" zoomScaleNormal="90" workbookViewId="0">
      <selection activeCell="G43" sqref="G43"/>
    </sheetView>
  </sheetViews>
  <sheetFormatPr defaultRowHeight="15"/>
  <cols>
    <col min="2" max="2" width="10" customWidth="1"/>
    <col min="3" max="3" width="13.42578125" customWidth="1"/>
    <col min="4" max="4" width="11.7109375" customWidth="1"/>
    <col min="5" max="5" width="7.28515625" customWidth="1"/>
    <col min="6" max="6" width="9.7109375" customWidth="1"/>
    <col min="7" max="7" width="13.42578125" customWidth="1"/>
    <col min="8" max="8" width="13.7109375" customWidth="1"/>
    <col min="9" max="9" width="13.28515625" customWidth="1"/>
    <col min="12" max="12" width="11.28515625" customWidth="1"/>
    <col min="13" max="13" width="13.42578125" customWidth="1"/>
    <col min="14" max="14" width="9.28515625" customWidth="1"/>
    <col min="15" max="15" width="10.5703125" customWidth="1"/>
    <col min="16" max="16" width="22.42578125" customWidth="1"/>
    <col min="17" max="17" width="10.7109375" customWidth="1"/>
    <col min="18" max="18" width="24.7109375" customWidth="1"/>
    <col min="19" max="19" width="13.7109375" customWidth="1"/>
  </cols>
  <sheetData>
    <row r="2" spans="2:18">
      <c r="E2" s="18" t="s">
        <v>231</v>
      </c>
      <c r="F2" s="27">
        <v>37</v>
      </c>
      <c r="O2" s="18" t="s">
        <v>233</v>
      </c>
      <c r="P2" s="27">
        <v>4</v>
      </c>
    </row>
    <row r="3" spans="2:18">
      <c r="E3" s="18" t="s">
        <v>241</v>
      </c>
      <c r="F3" s="25" t="str">
        <f>'Define Points'!F3</f>
        <v>Decking Surface</v>
      </c>
      <c r="O3" s="18" t="s">
        <v>241</v>
      </c>
      <c r="P3" s="25" t="str">
        <f>'Define Points'!F3</f>
        <v>Decking Surface</v>
      </c>
    </row>
    <row r="5" spans="2:18">
      <c r="B5" s="23" t="s">
        <v>234</v>
      </c>
      <c r="C5" s="21" t="s">
        <v>221</v>
      </c>
      <c r="D5" s="21" t="s">
        <v>219</v>
      </c>
      <c r="E5" s="21" t="s">
        <v>224</v>
      </c>
      <c r="F5" s="21" t="s">
        <v>220</v>
      </c>
      <c r="G5" s="21" t="s">
        <v>230</v>
      </c>
      <c r="H5" s="21" t="s">
        <v>226</v>
      </c>
      <c r="I5" s="21" t="s">
        <v>227</v>
      </c>
      <c r="L5" s="23" t="s">
        <v>235</v>
      </c>
      <c r="M5" s="21" t="s">
        <v>221</v>
      </c>
      <c r="N5" s="21" t="s">
        <v>220</v>
      </c>
      <c r="O5" s="21" t="s">
        <v>236</v>
      </c>
      <c r="P5" s="21" t="s">
        <v>238</v>
      </c>
      <c r="R5" s="21" t="s">
        <v>301</v>
      </c>
    </row>
    <row r="6" spans="2:18">
      <c r="B6" s="24">
        <v>1</v>
      </c>
      <c r="C6" s="40" t="s">
        <v>287</v>
      </c>
      <c r="D6" s="40" t="s">
        <v>222</v>
      </c>
      <c r="E6" s="40" t="s">
        <v>223</v>
      </c>
      <c r="F6" s="40" t="s">
        <v>225</v>
      </c>
      <c r="G6" s="40">
        <f>(50/2)*(1/1000)*(1/36)</f>
        <v>6.9444444444444447E-4</v>
      </c>
      <c r="H6" s="40">
        <f>5*12+6</f>
        <v>66</v>
      </c>
      <c r="I6" s="40">
        <f>H6+36</f>
        <v>102</v>
      </c>
      <c r="L6" s="24">
        <v>1</v>
      </c>
      <c r="M6" s="27" t="s">
        <v>295</v>
      </c>
      <c r="N6" s="27" t="s">
        <v>20</v>
      </c>
      <c r="O6" s="27">
        <f>50/1000</f>
        <v>0.05</v>
      </c>
      <c r="P6" s="27" t="s">
        <v>269</v>
      </c>
      <c r="R6" s="40" t="s">
        <v>302</v>
      </c>
    </row>
    <row r="7" spans="2:18">
      <c r="B7" s="24">
        <v>2</v>
      </c>
      <c r="C7" s="40" t="s">
        <v>287</v>
      </c>
      <c r="D7" s="40" t="s">
        <v>222</v>
      </c>
      <c r="E7" s="40" t="s">
        <v>223</v>
      </c>
      <c r="F7" s="40" t="s">
        <v>225</v>
      </c>
      <c r="G7" s="40">
        <f t="shared" ref="G7" si="0">(50/2)*(1/1000)*(1/36)</f>
        <v>6.9444444444444447E-4</v>
      </c>
      <c r="H7" s="40">
        <f>I7-36</f>
        <v>206.25</v>
      </c>
      <c r="I7" s="40">
        <f>'Define Points'!$K$5</f>
        <v>242.25</v>
      </c>
      <c r="L7" s="24">
        <v>2</v>
      </c>
      <c r="M7" s="27" t="s">
        <v>296</v>
      </c>
      <c r="N7" s="27" t="s">
        <v>20</v>
      </c>
      <c r="O7" s="27">
        <f>50/1000</f>
        <v>0.05</v>
      </c>
      <c r="P7" s="27" t="s">
        <v>270</v>
      </c>
      <c r="R7" s="40" t="s">
        <v>303</v>
      </c>
    </row>
    <row r="8" spans="2:18">
      <c r="B8" s="24">
        <v>3</v>
      </c>
      <c r="C8" s="41" t="s">
        <v>306</v>
      </c>
      <c r="D8" s="41" t="s">
        <v>222</v>
      </c>
      <c r="E8" s="41" t="s">
        <v>223</v>
      </c>
      <c r="F8" s="41" t="s">
        <v>225</v>
      </c>
      <c r="G8" s="41">
        <f>(1900/2)*(1/1000)*(1/36)+(50/2)*(1/1000)*(1/36)</f>
        <v>2.7083333333333334E-2</v>
      </c>
      <c r="H8" s="41">
        <f>5*12+6</f>
        <v>66</v>
      </c>
      <c r="I8" s="41">
        <f>H8+36</f>
        <v>102</v>
      </c>
      <c r="L8" s="24">
        <v>3</v>
      </c>
      <c r="M8" s="27" t="s">
        <v>297</v>
      </c>
      <c r="N8" s="27" t="s">
        <v>20</v>
      </c>
      <c r="O8" s="27">
        <f t="shared" ref="O8:O9" si="1">50/1000</f>
        <v>0.05</v>
      </c>
      <c r="P8" s="27" t="s">
        <v>293</v>
      </c>
      <c r="R8" s="41" t="s">
        <v>304</v>
      </c>
    </row>
    <row r="9" spans="2:18">
      <c r="B9" s="24">
        <v>4</v>
      </c>
      <c r="C9" s="41" t="s">
        <v>306</v>
      </c>
      <c r="D9" s="41" t="s">
        <v>222</v>
      </c>
      <c r="E9" s="41" t="s">
        <v>223</v>
      </c>
      <c r="F9" s="41" t="s">
        <v>225</v>
      </c>
      <c r="G9" s="41">
        <f>(50/2)*(1/1000)*(1/36)</f>
        <v>6.9444444444444447E-4</v>
      </c>
      <c r="H9" s="41">
        <f>I9-36</f>
        <v>206.25</v>
      </c>
      <c r="I9" s="41">
        <f>'Define Points'!$K$5</f>
        <v>242.25</v>
      </c>
      <c r="L9" s="24">
        <v>4</v>
      </c>
      <c r="M9" s="27" t="s">
        <v>298</v>
      </c>
      <c r="N9" s="27" t="s">
        <v>20</v>
      </c>
      <c r="O9" s="27">
        <f t="shared" si="1"/>
        <v>0.05</v>
      </c>
      <c r="P9" s="27" t="s">
        <v>294</v>
      </c>
      <c r="R9" s="41" t="s">
        <v>303</v>
      </c>
    </row>
    <row r="10" spans="2:18">
      <c r="B10" s="24">
        <v>5</v>
      </c>
      <c r="C10" s="46" t="s">
        <v>307</v>
      </c>
      <c r="D10" s="46" t="s">
        <v>222</v>
      </c>
      <c r="E10" s="46" t="s">
        <v>223</v>
      </c>
      <c r="F10" s="46" t="s">
        <v>225</v>
      </c>
      <c r="G10" s="46">
        <f>(1900/2)*(1/1000)*(1/36)+(50/2)*(1/1000)*(1/36)</f>
        <v>2.7083333333333334E-2</v>
      </c>
      <c r="H10" s="46">
        <f>5*12+6</f>
        <v>66</v>
      </c>
      <c r="I10" s="46">
        <f>H10+36</f>
        <v>102</v>
      </c>
      <c r="R10" s="46" t="s">
        <v>304</v>
      </c>
    </row>
    <row r="11" spans="2:18">
      <c r="B11" s="24">
        <v>6</v>
      </c>
      <c r="C11" s="46" t="s">
        <v>307</v>
      </c>
      <c r="D11" s="46" t="s">
        <v>222</v>
      </c>
      <c r="E11" s="46" t="s">
        <v>223</v>
      </c>
      <c r="F11" s="46" t="s">
        <v>225</v>
      </c>
      <c r="G11" s="46">
        <f>(600/2)*(1/1000)*(1/36)+(50/2)*(1/1000)*(1/36)</f>
        <v>9.0277777777777769E-3</v>
      </c>
      <c r="H11" s="46">
        <f>I11-36</f>
        <v>206.25</v>
      </c>
      <c r="I11" s="46">
        <f>'Define Points'!$K$5</f>
        <v>242.25</v>
      </c>
      <c r="R11" s="46" t="s">
        <v>305</v>
      </c>
    </row>
    <row r="12" spans="2:18">
      <c r="B12" s="24">
        <v>7</v>
      </c>
      <c r="C12" s="42" t="s">
        <v>288</v>
      </c>
      <c r="D12" s="42" t="s">
        <v>222</v>
      </c>
      <c r="E12" s="42" t="s">
        <v>223</v>
      </c>
      <c r="F12" s="42" t="s">
        <v>225</v>
      </c>
      <c r="G12" s="42">
        <f>(50/2)*(1/1000)*(1/36)</f>
        <v>6.9444444444444447E-4</v>
      </c>
      <c r="H12" s="42">
        <f>6*12+6</f>
        <v>78</v>
      </c>
      <c r="I12" s="42">
        <f>H12+36</f>
        <v>114</v>
      </c>
      <c r="R12" s="42" t="s">
        <v>302</v>
      </c>
    </row>
    <row r="13" spans="2:18">
      <c r="B13" s="24">
        <v>8</v>
      </c>
      <c r="C13" s="42" t="s">
        <v>288</v>
      </c>
      <c r="D13" s="42" t="s">
        <v>222</v>
      </c>
      <c r="E13" s="42" t="s">
        <v>223</v>
      </c>
      <c r="F13" s="42" t="s">
        <v>225</v>
      </c>
      <c r="G13" s="42">
        <f t="shared" ref="G13:G15" si="2">(50/2)*(1/1000)*(1/36)</f>
        <v>6.9444444444444447E-4</v>
      </c>
      <c r="H13" s="42">
        <f>I13-36</f>
        <v>206.25</v>
      </c>
      <c r="I13" s="42">
        <f>'Define Points'!$K$5</f>
        <v>242.25</v>
      </c>
      <c r="R13" s="42" t="s">
        <v>303</v>
      </c>
    </row>
    <row r="14" spans="2:18">
      <c r="B14" s="24">
        <v>9</v>
      </c>
      <c r="C14" s="44" t="s">
        <v>308</v>
      </c>
      <c r="D14" s="44" t="s">
        <v>222</v>
      </c>
      <c r="E14" s="44" t="s">
        <v>223</v>
      </c>
      <c r="F14" s="44" t="s">
        <v>225</v>
      </c>
      <c r="G14" s="44">
        <f>(1900/2)*(1/1000)*(1/36)+(50/2)*(1/1000)*(1/36)</f>
        <v>2.7083333333333334E-2</v>
      </c>
      <c r="H14" s="44">
        <f>6*12+6</f>
        <v>78</v>
      </c>
      <c r="I14" s="44">
        <f>H14+36</f>
        <v>114</v>
      </c>
      <c r="R14" s="44" t="s">
        <v>304</v>
      </c>
    </row>
    <row r="15" spans="2:18">
      <c r="B15" s="24">
        <v>10</v>
      </c>
      <c r="C15" s="44" t="s">
        <v>308</v>
      </c>
      <c r="D15" s="44" t="s">
        <v>222</v>
      </c>
      <c r="E15" s="44" t="s">
        <v>223</v>
      </c>
      <c r="F15" s="44" t="s">
        <v>225</v>
      </c>
      <c r="G15" s="44">
        <f t="shared" si="2"/>
        <v>6.9444444444444447E-4</v>
      </c>
      <c r="H15" s="44">
        <f>I15-36</f>
        <v>206.25</v>
      </c>
      <c r="I15" s="44">
        <f>'Define Points'!$K$5</f>
        <v>242.25</v>
      </c>
      <c r="R15" s="44" t="s">
        <v>303</v>
      </c>
    </row>
    <row r="16" spans="2:18">
      <c r="B16" s="24">
        <v>11</v>
      </c>
      <c r="C16" s="45" t="s">
        <v>309</v>
      </c>
      <c r="D16" s="45" t="s">
        <v>222</v>
      </c>
      <c r="E16" s="45" t="s">
        <v>223</v>
      </c>
      <c r="F16" s="45" t="s">
        <v>225</v>
      </c>
      <c r="G16" s="45">
        <f>(1900/2)*(1/1000)*(1/36)+(50/2)*(1/1000)*(1/36)</f>
        <v>2.7083333333333334E-2</v>
      </c>
      <c r="H16" s="45">
        <f>6*12+6</f>
        <v>78</v>
      </c>
      <c r="I16" s="45">
        <f>H16+36</f>
        <v>114</v>
      </c>
      <c r="R16" s="45" t="s">
        <v>304</v>
      </c>
    </row>
    <row r="17" spans="2:18">
      <c r="B17" s="24">
        <v>12</v>
      </c>
      <c r="C17" s="45" t="s">
        <v>309</v>
      </c>
      <c r="D17" s="45" t="s">
        <v>222</v>
      </c>
      <c r="E17" s="45" t="s">
        <v>223</v>
      </c>
      <c r="F17" s="45" t="s">
        <v>225</v>
      </c>
      <c r="G17" s="45">
        <f>(600/2)*(1/1000)*(1/36)+(50/2)*(1/1000)*(1/36)</f>
        <v>9.0277777777777769E-3</v>
      </c>
      <c r="H17" s="45">
        <f>I17-36</f>
        <v>206.25</v>
      </c>
      <c r="I17" s="45">
        <f>'Define Points'!$K$5</f>
        <v>242.25</v>
      </c>
      <c r="L17" t="s">
        <v>280</v>
      </c>
      <c r="R17" s="45" t="s">
        <v>305</v>
      </c>
    </row>
    <row r="18" spans="2:18">
      <c r="B18" s="24">
        <v>13</v>
      </c>
      <c r="C18" s="47" t="s">
        <v>289</v>
      </c>
      <c r="D18" s="47" t="s">
        <v>222</v>
      </c>
      <c r="E18" s="47" t="s">
        <v>223</v>
      </c>
      <c r="F18" s="47" t="s">
        <v>225</v>
      </c>
      <c r="G18" s="47">
        <f>(50/2)*(1/1000)*(1/36)</f>
        <v>6.9444444444444447E-4</v>
      </c>
      <c r="H18" s="47">
        <f>8*12+6</f>
        <v>102</v>
      </c>
      <c r="I18" s="47">
        <f>H18+36</f>
        <v>138</v>
      </c>
      <c r="L18" t="s">
        <v>281</v>
      </c>
      <c r="M18" t="s">
        <v>282</v>
      </c>
      <c r="R18" s="47" t="s">
        <v>302</v>
      </c>
    </row>
    <row r="19" spans="2:18">
      <c r="B19" s="24">
        <v>14</v>
      </c>
      <c r="C19" s="47" t="s">
        <v>289</v>
      </c>
      <c r="D19" s="47" t="s">
        <v>222</v>
      </c>
      <c r="E19" s="47" t="s">
        <v>223</v>
      </c>
      <c r="F19" s="47" t="s">
        <v>225</v>
      </c>
      <c r="G19" s="47">
        <f t="shared" ref="G19:G21" si="3">(50/2)*(1/1000)*(1/36)</f>
        <v>6.9444444444444447E-4</v>
      </c>
      <c r="H19" s="47">
        <f>I19-36</f>
        <v>206.25</v>
      </c>
      <c r="I19" s="47">
        <f>'Define Points'!$K$5</f>
        <v>242.25</v>
      </c>
      <c r="L19" t="s">
        <v>283</v>
      </c>
      <c r="M19" t="s">
        <v>284</v>
      </c>
      <c r="R19" s="47" t="s">
        <v>303</v>
      </c>
    </row>
    <row r="20" spans="2:18">
      <c r="B20" s="24">
        <v>15</v>
      </c>
      <c r="C20" s="43" t="s">
        <v>310</v>
      </c>
      <c r="D20" s="43" t="s">
        <v>222</v>
      </c>
      <c r="E20" s="43" t="s">
        <v>223</v>
      </c>
      <c r="F20" s="43" t="s">
        <v>225</v>
      </c>
      <c r="G20" s="43">
        <f>(1900/2)*(1/1000)*(1/36)+(50/2)*(1/1000)*(1/36)</f>
        <v>2.7083333333333334E-2</v>
      </c>
      <c r="H20" s="43">
        <f>8*12+6</f>
        <v>102</v>
      </c>
      <c r="I20" s="43">
        <f>H20+36</f>
        <v>138</v>
      </c>
      <c r="L20" t="s">
        <v>285</v>
      </c>
      <c r="M20" t="s">
        <v>286</v>
      </c>
      <c r="R20" s="43" t="s">
        <v>304</v>
      </c>
    </row>
    <row r="21" spans="2:18">
      <c r="B21" s="24">
        <v>16</v>
      </c>
      <c r="C21" s="43" t="s">
        <v>310</v>
      </c>
      <c r="D21" s="43" t="s">
        <v>222</v>
      </c>
      <c r="E21" s="43" t="s">
        <v>223</v>
      </c>
      <c r="F21" s="43" t="s">
        <v>225</v>
      </c>
      <c r="G21" s="43">
        <f t="shared" si="3"/>
        <v>6.9444444444444447E-4</v>
      </c>
      <c r="H21" s="43">
        <f>I21-36</f>
        <v>206.25</v>
      </c>
      <c r="I21" s="43">
        <f>'Define Points'!$K$5</f>
        <v>242.25</v>
      </c>
      <c r="R21" s="43" t="s">
        <v>303</v>
      </c>
    </row>
    <row r="22" spans="2:18">
      <c r="B22" s="24">
        <v>17</v>
      </c>
      <c r="C22" s="49" t="s">
        <v>311</v>
      </c>
      <c r="D22" s="49" t="s">
        <v>222</v>
      </c>
      <c r="E22" s="49" t="s">
        <v>223</v>
      </c>
      <c r="F22" s="49" t="s">
        <v>225</v>
      </c>
      <c r="G22" s="49">
        <f>(1900/2)*(1/1000)*(1/36)+(50/2)*(1/1000)*(1/36)</f>
        <v>2.7083333333333334E-2</v>
      </c>
      <c r="H22" s="49">
        <f>8*12+6</f>
        <v>102</v>
      </c>
      <c r="I22" s="49">
        <f>H22+36</f>
        <v>138</v>
      </c>
      <c r="R22" s="49" t="s">
        <v>304</v>
      </c>
    </row>
    <row r="23" spans="2:18">
      <c r="B23" s="24">
        <v>18</v>
      </c>
      <c r="C23" s="49" t="s">
        <v>311</v>
      </c>
      <c r="D23" s="49" t="s">
        <v>222</v>
      </c>
      <c r="E23" s="49" t="s">
        <v>223</v>
      </c>
      <c r="F23" s="49" t="s">
        <v>225</v>
      </c>
      <c r="G23" s="49">
        <f>(600/2)*(1/1000)*(1/36)</f>
        <v>8.3333333333333332E-3</v>
      </c>
      <c r="H23" s="49">
        <f>I23-36</f>
        <v>206.25</v>
      </c>
      <c r="I23" s="49">
        <f>'Define Points'!$K$5</f>
        <v>242.25</v>
      </c>
      <c r="R23" s="49" t="s">
        <v>305</v>
      </c>
    </row>
    <row r="24" spans="2:18">
      <c r="B24" s="24">
        <v>19</v>
      </c>
      <c r="C24" s="50" t="s">
        <v>290</v>
      </c>
      <c r="D24" s="50" t="s">
        <v>222</v>
      </c>
      <c r="E24" s="50" t="s">
        <v>223</v>
      </c>
      <c r="F24" s="50" t="s">
        <v>225</v>
      </c>
      <c r="G24" s="50">
        <f>(50/2)*(1/1000)*(1/36)</f>
        <v>6.9444444444444447E-4</v>
      </c>
      <c r="H24" s="50">
        <f>5*12+6</f>
        <v>66</v>
      </c>
      <c r="I24" s="50">
        <f>H24+36</f>
        <v>102</v>
      </c>
      <c r="R24" s="50" t="s">
        <v>302</v>
      </c>
    </row>
    <row r="25" spans="2:18">
      <c r="B25" s="24">
        <v>20</v>
      </c>
      <c r="C25" s="50" t="s">
        <v>290</v>
      </c>
      <c r="D25" s="50" t="s">
        <v>222</v>
      </c>
      <c r="E25" s="50" t="s">
        <v>223</v>
      </c>
      <c r="F25" s="50" t="s">
        <v>225</v>
      </c>
      <c r="G25" s="50">
        <f t="shared" ref="G25:G27" si="4">(50/2)*(1/1000)*(1/36)</f>
        <v>6.9444444444444447E-4</v>
      </c>
      <c r="H25" s="50">
        <f>I25-36</f>
        <v>206.25</v>
      </c>
      <c r="I25" s="50">
        <f>'Define Points'!$K$5</f>
        <v>242.25</v>
      </c>
      <c r="R25" s="50" t="s">
        <v>303</v>
      </c>
    </row>
    <row r="26" spans="2:18">
      <c r="B26" s="24">
        <v>21</v>
      </c>
      <c r="C26" s="52" t="s">
        <v>312</v>
      </c>
      <c r="D26" s="52" t="s">
        <v>222</v>
      </c>
      <c r="E26" s="52" t="s">
        <v>223</v>
      </c>
      <c r="F26" s="52" t="s">
        <v>225</v>
      </c>
      <c r="G26" s="52">
        <f>(1700/2)*(1/1000)*(1/36)+(50/2)*(1/1000)*(1/36)</f>
        <v>2.4305555555555556E-2</v>
      </c>
      <c r="H26" s="52">
        <f>5*12+6</f>
        <v>66</v>
      </c>
      <c r="I26" s="52">
        <f>H26+36</f>
        <v>102</v>
      </c>
      <c r="R26" s="52" t="s">
        <v>304</v>
      </c>
    </row>
    <row r="27" spans="2:18">
      <c r="B27" s="24">
        <v>22</v>
      </c>
      <c r="C27" s="52" t="s">
        <v>312</v>
      </c>
      <c r="D27" s="52" t="s">
        <v>222</v>
      </c>
      <c r="E27" s="52" t="s">
        <v>223</v>
      </c>
      <c r="F27" s="52" t="s">
        <v>225</v>
      </c>
      <c r="G27" s="52">
        <f t="shared" si="4"/>
        <v>6.9444444444444447E-4</v>
      </c>
      <c r="H27" s="52">
        <f>I27-36</f>
        <v>206.25</v>
      </c>
      <c r="I27" s="52">
        <f>'Define Points'!$K$5</f>
        <v>242.25</v>
      </c>
      <c r="R27" s="52" t="s">
        <v>303</v>
      </c>
    </row>
    <row r="28" spans="2:18">
      <c r="B28" s="24">
        <v>23</v>
      </c>
      <c r="C28" s="51" t="s">
        <v>313</v>
      </c>
      <c r="D28" s="51" t="s">
        <v>222</v>
      </c>
      <c r="E28" s="51" t="s">
        <v>223</v>
      </c>
      <c r="F28" s="51" t="s">
        <v>225</v>
      </c>
      <c r="G28" s="51">
        <f>(1700/2)*(1/1000)*(1/36)+(50/2)*(1/1000)*(1/36)</f>
        <v>2.4305555555555556E-2</v>
      </c>
      <c r="H28" s="51">
        <f>5*12+6</f>
        <v>66</v>
      </c>
      <c r="I28" s="51">
        <f>H28+36</f>
        <v>102</v>
      </c>
      <c r="R28" s="51" t="s">
        <v>304</v>
      </c>
    </row>
    <row r="29" spans="2:18">
      <c r="B29" s="24">
        <v>24</v>
      </c>
      <c r="C29" s="51" t="s">
        <v>313</v>
      </c>
      <c r="D29" s="51" t="s">
        <v>222</v>
      </c>
      <c r="E29" s="51" t="s">
        <v>223</v>
      </c>
      <c r="F29" s="51" t="s">
        <v>225</v>
      </c>
      <c r="G29" s="51">
        <f>(800/2)*(1/1000)*(1/36)+(50/2)*(1/1000)*(1/36)</f>
        <v>1.1805555555555555E-2</v>
      </c>
      <c r="H29" s="51">
        <f>I29-36</f>
        <v>206.25</v>
      </c>
      <c r="I29" s="51">
        <f>'Define Points'!$K$5</f>
        <v>242.25</v>
      </c>
      <c r="R29" s="51" t="s">
        <v>305</v>
      </c>
    </row>
    <row r="30" spans="2:18">
      <c r="B30" s="24">
        <v>25</v>
      </c>
      <c r="C30" s="54" t="s">
        <v>291</v>
      </c>
      <c r="D30" s="54" t="s">
        <v>222</v>
      </c>
      <c r="E30" s="54" t="s">
        <v>223</v>
      </c>
      <c r="F30" s="54" t="s">
        <v>225</v>
      </c>
      <c r="G30" s="54">
        <f>(50/2)*(1/1000)*(1/36)</f>
        <v>6.9444444444444447E-4</v>
      </c>
      <c r="H30" s="54">
        <f>6*12+6</f>
        <v>78</v>
      </c>
      <c r="I30" s="54">
        <f>H30+36</f>
        <v>114</v>
      </c>
      <c r="R30" s="54" t="s">
        <v>302</v>
      </c>
    </row>
    <row r="31" spans="2:18">
      <c r="B31" s="24">
        <v>26</v>
      </c>
      <c r="C31" s="54" t="s">
        <v>291</v>
      </c>
      <c r="D31" s="54" t="s">
        <v>222</v>
      </c>
      <c r="E31" s="54" t="s">
        <v>223</v>
      </c>
      <c r="F31" s="54" t="s">
        <v>225</v>
      </c>
      <c r="G31" s="54">
        <f t="shared" ref="G31:G33" si="5">(50/2)*(1/1000)*(1/36)</f>
        <v>6.9444444444444447E-4</v>
      </c>
      <c r="H31" s="54">
        <f>I31-36</f>
        <v>206.25</v>
      </c>
      <c r="I31" s="54">
        <f>'Define Points'!$K$5</f>
        <v>242.25</v>
      </c>
      <c r="R31" s="54" t="s">
        <v>303</v>
      </c>
    </row>
    <row r="32" spans="2:18">
      <c r="B32" s="24">
        <v>27</v>
      </c>
      <c r="C32" s="56" t="s">
        <v>314</v>
      </c>
      <c r="D32" s="56" t="s">
        <v>222</v>
      </c>
      <c r="E32" s="56" t="s">
        <v>223</v>
      </c>
      <c r="F32" s="56" t="s">
        <v>225</v>
      </c>
      <c r="G32" s="56">
        <f>+(50/2)*(1/1000)*(1/36)+(1700/2)*(1/1000)*(1/36)</f>
        <v>2.4305555555555556E-2</v>
      </c>
      <c r="H32" s="56">
        <f>6*12+6</f>
        <v>78</v>
      </c>
      <c r="I32" s="56">
        <f>H32+36</f>
        <v>114</v>
      </c>
      <c r="R32" s="56" t="s">
        <v>304</v>
      </c>
    </row>
    <row r="33" spans="2:18">
      <c r="B33" s="24">
        <v>28</v>
      </c>
      <c r="C33" s="56" t="s">
        <v>314</v>
      </c>
      <c r="D33" s="56" t="s">
        <v>222</v>
      </c>
      <c r="E33" s="56" t="s">
        <v>223</v>
      </c>
      <c r="F33" s="56" t="s">
        <v>225</v>
      </c>
      <c r="G33" s="56">
        <f t="shared" si="5"/>
        <v>6.9444444444444447E-4</v>
      </c>
      <c r="H33" s="56">
        <f>I33-36</f>
        <v>206.25</v>
      </c>
      <c r="I33" s="56">
        <f>'Define Points'!$K$5</f>
        <v>242.25</v>
      </c>
      <c r="R33" s="56" t="s">
        <v>303</v>
      </c>
    </row>
    <row r="34" spans="2:18">
      <c r="B34" s="24">
        <v>29</v>
      </c>
      <c r="C34" s="55" t="s">
        <v>315</v>
      </c>
      <c r="D34" s="55" t="s">
        <v>222</v>
      </c>
      <c r="E34" s="55" t="s">
        <v>223</v>
      </c>
      <c r="F34" s="55" t="s">
        <v>225</v>
      </c>
      <c r="G34" s="55">
        <f>+(50/2)*(1/1000)*(1/36)+(1700/2)*(1/1000)*(1/36)</f>
        <v>2.4305555555555556E-2</v>
      </c>
      <c r="H34" s="55">
        <f>6*12+6</f>
        <v>78</v>
      </c>
      <c r="I34" s="55">
        <f>H34+36</f>
        <v>114</v>
      </c>
      <c r="R34" s="55" t="s">
        <v>304</v>
      </c>
    </row>
    <row r="35" spans="2:18">
      <c r="B35" s="24">
        <v>30</v>
      </c>
      <c r="C35" s="55" t="s">
        <v>315</v>
      </c>
      <c r="D35" s="55" t="s">
        <v>222</v>
      </c>
      <c r="E35" s="55" t="s">
        <v>223</v>
      </c>
      <c r="F35" s="55" t="s">
        <v>225</v>
      </c>
      <c r="G35" s="55">
        <f>(800/2)*(1/1000)*(1/36)+(50/2)*(1/1000)*(1/36)</f>
        <v>1.1805555555555555E-2</v>
      </c>
      <c r="H35" s="55">
        <f>I35-36</f>
        <v>206.25</v>
      </c>
      <c r="I35" s="55">
        <f>'Define Points'!$K$5</f>
        <v>242.25</v>
      </c>
      <c r="R35" s="55" t="s">
        <v>305</v>
      </c>
    </row>
    <row r="36" spans="2:18">
      <c r="B36" s="24">
        <v>31</v>
      </c>
      <c r="C36" s="57" t="s">
        <v>292</v>
      </c>
      <c r="D36" s="57" t="s">
        <v>222</v>
      </c>
      <c r="E36" s="57" t="s">
        <v>223</v>
      </c>
      <c r="F36" s="57" t="s">
        <v>225</v>
      </c>
      <c r="G36" s="57">
        <f>(50/2)*(1/1000)*(1/36)</f>
        <v>6.9444444444444447E-4</v>
      </c>
      <c r="H36" s="57">
        <f>8*12+6</f>
        <v>102</v>
      </c>
      <c r="I36" s="57">
        <f>H36+36</f>
        <v>138</v>
      </c>
      <c r="R36" s="57" t="s">
        <v>302</v>
      </c>
    </row>
    <row r="37" spans="2:18">
      <c r="B37" s="24">
        <v>32</v>
      </c>
      <c r="C37" s="57" t="s">
        <v>292</v>
      </c>
      <c r="D37" s="57" t="s">
        <v>222</v>
      </c>
      <c r="E37" s="57" t="s">
        <v>223</v>
      </c>
      <c r="F37" s="57" t="s">
        <v>225</v>
      </c>
      <c r="G37" s="57">
        <f t="shared" ref="G37:G39" si="6">(50/2)*(1/1000)*(1/36)</f>
        <v>6.9444444444444447E-4</v>
      </c>
      <c r="H37" s="57">
        <f>I37-36</f>
        <v>206.25</v>
      </c>
      <c r="I37" s="57">
        <f>'Define Points'!$K$5</f>
        <v>242.25</v>
      </c>
      <c r="R37" s="57" t="s">
        <v>303</v>
      </c>
    </row>
    <row r="38" spans="2:18">
      <c r="B38" s="24">
        <v>33</v>
      </c>
      <c r="C38" s="53" t="s">
        <v>316</v>
      </c>
      <c r="D38" s="53" t="s">
        <v>222</v>
      </c>
      <c r="E38" s="53" t="s">
        <v>223</v>
      </c>
      <c r="F38" s="53" t="s">
        <v>225</v>
      </c>
      <c r="G38" s="53">
        <f>(1700/2)*(1/1000)*(1/36)+(50/2)*(1/1000)*(1/36)</f>
        <v>2.4305555555555556E-2</v>
      </c>
      <c r="H38" s="53">
        <f>8*12+6</f>
        <v>102</v>
      </c>
      <c r="I38" s="53">
        <f>H38+36</f>
        <v>138</v>
      </c>
      <c r="R38" s="53" t="s">
        <v>304</v>
      </c>
    </row>
    <row r="39" spans="2:18">
      <c r="B39" s="24">
        <v>34</v>
      </c>
      <c r="C39" s="53" t="s">
        <v>316</v>
      </c>
      <c r="D39" s="53" t="s">
        <v>222</v>
      </c>
      <c r="E39" s="53" t="s">
        <v>223</v>
      </c>
      <c r="F39" s="53" t="s">
        <v>225</v>
      </c>
      <c r="G39" s="53">
        <f t="shared" si="6"/>
        <v>6.9444444444444447E-4</v>
      </c>
      <c r="H39" s="53">
        <f>I39-36</f>
        <v>206.25</v>
      </c>
      <c r="I39" s="53">
        <f>'Define Points'!$K$5</f>
        <v>242.25</v>
      </c>
      <c r="R39" s="53" t="s">
        <v>303</v>
      </c>
    </row>
    <row r="40" spans="2:18">
      <c r="B40" s="24">
        <v>35</v>
      </c>
      <c r="C40" s="48" t="s">
        <v>317</v>
      </c>
      <c r="D40" s="48" t="s">
        <v>222</v>
      </c>
      <c r="E40" s="48" t="s">
        <v>223</v>
      </c>
      <c r="F40" s="48" t="s">
        <v>225</v>
      </c>
      <c r="G40" s="48">
        <f>(1700/2)*(1/1000)*(1/36)+(50/2)*(1/1000)*(1/36)</f>
        <v>2.4305555555555556E-2</v>
      </c>
      <c r="H40" s="48">
        <f>8*12+6</f>
        <v>102</v>
      </c>
      <c r="I40" s="48">
        <f>H40+36</f>
        <v>138</v>
      </c>
      <c r="R40" s="48" t="s">
        <v>304</v>
      </c>
    </row>
    <row r="41" spans="2:18">
      <c r="B41" s="24">
        <v>36</v>
      </c>
      <c r="C41" s="48" t="s">
        <v>317</v>
      </c>
      <c r="D41" s="48" t="s">
        <v>222</v>
      </c>
      <c r="E41" s="48" t="s">
        <v>223</v>
      </c>
      <c r="F41" s="48" t="s">
        <v>225</v>
      </c>
      <c r="G41" s="48">
        <f>(800/2)*(1/1000)*(1/36)+(50/2)*(1/1000)*(1/36)</f>
        <v>1.1805555555555555E-2</v>
      </c>
      <c r="H41" s="48">
        <f>I41-36</f>
        <v>206.25</v>
      </c>
      <c r="I41" s="48">
        <f>'Define Points'!$K$5</f>
        <v>242.25</v>
      </c>
      <c r="R41" s="48" t="s">
        <v>305</v>
      </c>
    </row>
    <row r="42" spans="2:18">
      <c r="B42" s="24">
        <v>37</v>
      </c>
      <c r="C42" s="59" t="s">
        <v>352</v>
      </c>
      <c r="D42" s="59" t="s">
        <v>222</v>
      </c>
      <c r="E42" s="59" t="s">
        <v>223</v>
      </c>
      <c r="F42" s="59" t="s">
        <v>225</v>
      </c>
      <c r="G42" s="59">
        <v>0</v>
      </c>
      <c r="H42" s="59">
        <f>I42-36</f>
        <v>206.25</v>
      </c>
      <c r="I42" s="59">
        <f>'Define Points'!$K$5</f>
        <v>242.25</v>
      </c>
    </row>
  </sheetData>
  <dataValidations count="4">
    <dataValidation type="list" allowBlank="1" showInputMessage="1" showErrorMessage="1" sqref="D6:D42">
      <formula1>'List Ref'!$L$4:$L$5</formula1>
    </dataValidation>
    <dataValidation type="list" allowBlank="1" showInputMessage="1" showErrorMessage="1" sqref="E6:E42">
      <formula1>'List Ref'!$N$4:$N$6</formula1>
    </dataValidation>
    <dataValidation type="list" allowBlank="1" showInputMessage="1" showErrorMessage="1" sqref="N6:N9 F6:F42">
      <formula1>'List Ref'!$O$4:$O$7</formula1>
    </dataValidation>
    <dataValidation type="list" allowBlank="1" showInputMessage="1" showErrorMessage="1" sqref="P6:P9">
      <formula1>'Define Points'!$C$6:$C$1006</formula1>
    </dataValidation>
  </dataValidation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>
    <tabColor theme="0" tint="-0.34998626667073579"/>
  </sheetPr>
  <dimension ref="A1:Y154"/>
  <sheetViews>
    <sheetView workbookViewId="0">
      <pane xSplit="1" ySplit="1" topLeftCell="B133" activePane="bottomRight" state="frozen"/>
      <selection pane="topRight" activeCell="B1" sqref="B1"/>
      <selection pane="bottomLeft" activeCell="A2" sqref="A2"/>
      <selection pane="bottomRight" activeCell="P138" sqref="P138"/>
    </sheetView>
  </sheetViews>
  <sheetFormatPr defaultRowHeight="15"/>
  <cols>
    <col min="1" max="1" width="14" style="13" customWidth="1"/>
    <col min="2" max="2" width="5.42578125" customWidth="1"/>
    <col min="3" max="3" width="10.5703125" style="3" customWidth="1"/>
    <col min="4" max="4" width="7.5703125" style="3" customWidth="1"/>
    <col min="5" max="5" width="8.42578125" style="3" customWidth="1"/>
    <col min="6" max="6" width="6.5703125" style="3" customWidth="1"/>
    <col min="7" max="7" width="5.5703125" style="3" customWidth="1"/>
    <col min="8" max="8" width="10" customWidth="1"/>
    <col min="9" max="9" width="6.5703125" customWidth="1"/>
    <col min="10" max="11" width="7.7109375" customWidth="1"/>
    <col min="17" max="17" width="10" customWidth="1"/>
    <col min="23" max="23" width="12" customWidth="1"/>
    <col min="27" max="27" width="12" bestFit="1" customWidth="1"/>
    <col min="28" max="28" width="11.28515625" customWidth="1"/>
    <col min="29" max="29" width="11.42578125" customWidth="1"/>
  </cols>
  <sheetData>
    <row r="1" spans="1:16" s="11" customFormat="1" ht="18.75">
      <c r="A1" s="14" t="s">
        <v>188</v>
      </c>
      <c r="B1" s="14" t="s">
        <v>32</v>
      </c>
      <c r="C1" s="15" t="s">
        <v>33</v>
      </c>
      <c r="D1" s="15" t="s">
        <v>34</v>
      </c>
      <c r="E1" s="15" t="s">
        <v>35</v>
      </c>
      <c r="F1" s="15" t="s">
        <v>36</v>
      </c>
      <c r="G1" s="15" t="s">
        <v>37</v>
      </c>
      <c r="H1" s="15" t="s">
        <v>38</v>
      </c>
      <c r="I1" s="14" t="s">
        <v>39</v>
      </c>
      <c r="J1" s="14" t="s">
        <v>40</v>
      </c>
      <c r="K1" s="14" t="s">
        <v>41</v>
      </c>
      <c r="L1" s="15" t="s">
        <v>42</v>
      </c>
      <c r="M1" s="15" t="s">
        <v>43</v>
      </c>
      <c r="N1" s="14" t="s">
        <v>44</v>
      </c>
    </row>
    <row r="2" spans="1:16">
      <c r="A2" s="29" t="s">
        <v>45</v>
      </c>
      <c r="B2" s="29" t="s">
        <v>46</v>
      </c>
      <c r="C2" s="30">
        <v>4.21</v>
      </c>
      <c r="D2" s="31">
        <v>0.11799999999999999</v>
      </c>
      <c r="E2" s="31">
        <f>3/16</f>
        <v>0.1875</v>
      </c>
      <c r="F2" s="31"/>
      <c r="G2" s="32">
        <v>3.5000000000000003E-2</v>
      </c>
      <c r="H2" s="31">
        <v>5.7200000000000001E-2</v>
      </c>
      <c r="I2" s="31">
        <f>PI()*((E2/2)^2-(D2/2)^2)</f>
        <v>1.6675770154795471E-2</v>
      </c>
      <c r="J2" s="33">
        <f>(PI()/4)*((E2/2)^4-(D2/2)^4)</f>
        <v>5.1153185508743779E-5</v>
      </c>
      <c r="K2" s="33">
        <f>J2/(E2/2)</f>
        <v>5.4563397875993368E-4</v>
      </c>
      <c r="L2" s="27">
        <f>2*J2</f>
        <v>1.0230637101748756E-4</v>
      </c>
      <c r="M2" s="27">
        <f>SQRT(J2/I2)</f>
        <v>5.5385157082019729E-2</v>
      </c>
      <c r="N2" s="27">
        <f>M2</f>
        <v>5.5385157082019729E-2</v>
      </c>
    </row>
    <row r="3" spans="1:16">
      <c r="A3" s="29" t="s">
        <v>47</v>
      </c>
      <c r="B3" s="29" t="s">
        <v>46</v>
      </c>
      <c r="C3" s="30">
        <v>2.6</v>
      </c>
      <c r="D3" s="31">
        <v>0.19400000000000001</v>
      </c>
      <c r="E3" s="31">
        <v>0.25</v>
      </c>
      <c r="F3" s="31"/>
      <c r="G3" s="32">
        <v>2.8000000000000001E-2</v>
      </c>
      <c r="H3" s="31">
        <v>6.6400000000000001E-2</v>
      </c>
      <c r="I3" s="31">
        <f t="shared" ref="I3:I68" si="0">PI()*((E3/2)^2-(D3/2)^2)</f>
        <v>1.9528139934714153E-2</v>
      </c>
      <c r="J3" s="33">
        <f t="shared" ref="J3:J68" si="1">(PI()/4)*((E3/2)^4-(D3/2)^4)</f>
        <v>1.2221686378140851E-4</v>
      </c>
      <c r="K3" s="33">
        <f t="shared" ref="K3:K68" si="2">J3/(E3/2)</f>
        <v>9.7773491025126809E-4</v>
      </c>
      <c r="L3" s="27">
        <f t="shared" ref="L3:L68" si="3">2*J3</f>
        <v>2.4443372756281702E-4</v>
      </c>
      <c r="M3" s="27">
        <f t="shared" ref="M3:M68" si="4">SQRT(J3/I3)</f>
        <v>7.9110681958885931E-2</v>
      </c>
      <c r="N3" s="27">
        <f t="shared" ref="N3:N68" si="5">M3</f>
        <v>7.9110681958885931E-2</v>
      </c>
      <c r="P3" t="s">
        <v>262</v>
      </c>
    </row>
    <row r="4" spans="1:16">
      <c r="A4" s="29" t="s">
        <v>48</v>
      </c>
      <c r="B4" s="29" t="s">
        <v>46</v>
      </c>
      <c r="C4" s="30">
        <v>2.69</v>
      </c>
      <c r="D4" s="31">
        <v>0.18</v>
      </c>
      <c r="E4" s="31">
        <v>0.25</v>
      </c>
      <c r="F4" s="31"/>
      <c r="G4" s="32">
        <v>3.5000000000000003E-2</v>
      </c>
      <c r="H4" s="31">
        <v>8.0399999999999999E-2</v>
      </c>
      <c r="I4" s="31">
        <f t="shared" si="0"/>
        <v>2.3640484718263195E-2</v>
      </c>
      <c r="J4" s="33">
        <f t="shared" si="1"/>
        <v>1.4021762498519857E-4</v>
      </c>
      <c r="K4" s="33">
        <f t="shared" si="2"/>
        <v>1.1217409998815885E-3</v>
      </c>
      <c r="L4" s="27">
        <f t="shared" si="3"/>
        <v>2.8043524997039713E-4</v>
      </c>
      <c r="M4" s="27">
        <f t="shared" si="4"/>
        <v>7.701460900374682E-2</v>
      </c>
      <c r="N4" s="27">
        <f t="shared" si="5"/>
        <v>7.701460900374682E-2</v>
      </c>
      <c r="P4" t="s">
        <v>263</v>
      </c>
    </row>
    <row r="5" spans="1:16">
      <c r="A5" s="29" t="s">
        <v>49</v>
      </c>
      <c r="B5" s="29" t="s">
        <v>46</v>
      </c>
      <c r="C5" s="30">
        <v>3.57</v>
      </c>
      <c r="D5" s="31">
        <v>0.152</v>
      </c>
      <c r="E5" s="31">
        <v>0.25</v>
      </c>
      <c r="F5" s="31"/>
      <c r="G5" s="32">
        <v>4.9000000000000002E-2</v>
      </c>
      <c r="H5" s="31">
        <v>0.1052</v>
      </c>
      <c r="I5" s="31">
        <f t="shared" si="0"/>
        <v>3.0941546045205874E-2</v>
      </c>
      <c r="J5" s="33">
        <f t="shared" si="1"/>
        <v>1.6554500672836273E-4</v>
      </c>
      <c r="K5" s="33">
        <f t="shared" si="2"/>
        <v>1.3243600538269018E-3</v>
      </c>
      <c r="L5" s="27">
        <f t="shared" si="3"/>
        <v>3.3109001345672546E-4</v>
      </c>
      <c r="M5" s="27">
        <f t="shared" si="4"/>
        <v>7.3145403136492454E-2</v>
      </c>
      <c r="N5" s="27">
        <f t="shared" si="5"/>
        <v>7.3145403136492454E-2</v>
      </c>
      <c r="P5" t="s">
        <v>264</v>
      </c>
    </row>
    <row r="6" spans="1:16">
      <c r="A6" s="29" t="s">
        <v>50</v>
      </c>
      <c r="B6" s="29" t="s">
        <v>46</v>
      </c>
      <c r="C6" s="30">
        <v>5.98</v>
      </c>
      <c r="D6" s="31">
        <v>0.13400000000000001</v>
      </c>
      <c r="E6" s="31">
        <v>0.25</v>
      </c>
      <c r="F6" s="31"/>
      <c r="G6" s="32">
        <v>5.8000000000000003E-2</v>
      </c>
      <c r="H6" s="31">
        <v>0.11890000000000001</v>
      </c>
      <c r="I6" s="31">
        <f t="shared" si="0"/>
        <v>3.4984775790375934E-2</v>
      </c>
      <c r="J6" s="33">
        <f t="shared" si="1"/>
        <v>1.759209450619054E-4</v>
      </c>
      <c r="K6" s="33">
        <f t="shared" si="2"/>
        <v>1.4073675604952432E-3</v>
      </c>
      <c r="L6" s="27">
        <f t="shared" si="3"/>
        <v>3.5184189012381079E-4</v>
      </c>
      <c r="M6" s="27">
        <f t="shared" si="4"/>
        <v>7.091191719309245E-2</v>
      </c>
      <c r="N6" s="27">
        <f t="shared" si="5"/>
        <v>7.091191719309245E-2</v>
      </c>
      <c r="P6" t="s">
        <v>265</v>
      </c>
    </row>
    <row r="7" spans="1:16">
      <c r="A7" s="29" t="s">
        <v>51</v>
      </c>
      <c r="B7" s="29" t="s">
        <v>46</v>
      </c>
      <c r="C7" s="30">
        <v>4.49</v>
      </c>
      <c r="D7" s="31">
        <v>0.12</v>
      </c>
      <c r="E7" s="31">
        <v>0.25</v>
      </c>
      <c r="F7" s="31"/>
      <c r="G7" s="32">
        <v>6.5000000000000002E-2</v>
      </c>
      <c r="H7" s="31">
        <v>0.12839999999999999</v>
      </c>
      <c r="I7" s="31">
        <f t="shared" si="0"/>
        <v>3.7777651659417266E-2</v>
      </c>
      <c r="J7" s="33">
        <f t="shared" si="1"/>
        <v>1.8156883828807422E-4</v>
      </c>
      <c r="K7" s="33">
        <f t="shared" si="2"/>
        <v>1.4525507063045937E-3</v>
      </c>
      <c r="L7" s="27">
        <f t="shared" si="3"/>
        <v>3.6313767657614843E-4</v>
      </c>
      <c r="M7" s="27">
        <f t="shared" si="4"/>
        <v>6.9327123119310233E-2</v>
      </c>
      <c r="N7" s="27">
        <f t="shared" si="5"/>
        <v>6.9327123119310233E-2</v>
      </c>
    </row>
    <row r="8" spans="1:16">
      <c r="A8" s="29" t="s">
        <v>52</v>
      </c>
      <c r="B8" s="29" t="s">
        <v>46</v>
      </c>
      <c r="C8" s="30">
        <v>3.97</v>
      </c>
      <c r="D8" s="31">
        <v>0.25600000000000001</v>
      </c>
      <c r="E8" s="31">
        <f t="shared" ref="E8:E13" si="6">5/16</f>
        <v>0.3125</v>
      </c>
      <c r="F8" s="31"/>
      <c r="G8" s="32">
        <v>2.8000000000000001E-2</v>
      </c>
      <c r="H8" s="31">
        <v>8.5199999999999998E-2</v>
      </c>
      <c r="I8" s="31">
        <f t="shared" si="0"/>
        <v>2.5227185357866892E-2</v>
      </c>
      <c r="J8" s="33">
        <f t="shared" si="1"/>
        <v>2.5730507123233453E-4</v>
      </c>
      <c r="K8" s="33">
        <f t="shared" si="2"/>
        <v>1.6467524558869411E-3</v>
      </c>
      <c r="L8" s="27">
        <f t="shared" si="3"/>
        <v>5.1461014246466906E-4</v>
      </c>
      <c r="M8" s="27">
        <f t="shared" si="4"/>
        <v>0.10099265134157037</v>
      </c>
      <c r="N8" s="27">
        <f t="shared" si="5"/>
        <v>0.10099265134157037</v>
      </c>
    </row>
    <row r="9" spans="1:16">
      <c r="A9" s="29" t="s">
        <v>53</v>
      </c>
      <c r="B9" s="29" t="s">
        <v>46</v>
      </c>
      <c r="C9" s="30">
        <v>4.4800000000000004</v>
      </c>
      <c r="D9" s="31">
        <v>0.24299999999999999</v>
      </c>
      <c r="E9" s="31">
        <f t="shared" si="6"/>
        <v>0.3125</v>
      </c>
      <c r="F9" s="31"/>
      <c r="G9" s="32">
        <v>3.5000000000000003E-2</v>
      </c>
      <c r="H9" s="31">
        <v>0.10390000000000001</v>
      </c>
      <c r="I9" s="31">
        <f t="shared" si="0"/>
        <v>3.0322063243826136E-2</v>
      </c>
      <c r="J9" s="33">
        <f t="shared" si="1"/>
        <v>2.9697665632122405E-4</v>
      </c>
      <c r="K9" s="33">
        <f t="shared" si="2"/>
        <v>1.900650600455834E-3</v>
      </c>
      <c r="L9" s="27">
        <f t="shared" si="3"/>
        <v>5.939533126424481E-4</v>
      </c>
      <c r="M9" s="27">
        <f t="shared" si="4"/>
        <v>9.8965034860803228E-2</v>
      </c>
      <c r="N9" s="27">
        <f t="shared" si="5"/>
        <v>9.8965034860803228E-2</v>
      </c>
    </row>
    <row r="10" spans="1:16">
      <c r="A10" s="29" t="s">
        <v>54</v>
      </c>
      <c r="B10" s="29" t="s">
        <v>46</v>
      </c>
      <c r="C10" s="30">
        <v>6.03</v>
      </c>
      <c r="D10" s="31">
        <v>0.215</v>
      </c>
      <c r="E10" s="31">
        <f t="shared" si="6"/>
        <v>0.3125</v>
      </c>
      <c r="F10" s="31"/>
      <c r="G10" s="32">
        <v>4.9000000000000002E-2</v>
      </c>
      <c r="H10" s="31">
        <v>0.13819999999999999</v>
      </c>
      <c r="I10" s="31">
        <f t="shared" si="0"/>
        <v>4.0394009291235017E-2</v>
      </c>
      <c r="J10" s="33">
        <f t="shared" si="1"/>
        <v>3.6324628433340677E-4</v>
      </c>
      <c r="K10" s="33">
        <f t="shared" si="2"/>
        <v>2.3247762197338034E-3</v>
      </c>
      <c r="L10" s="27">
        <f t="shared" si="3"/>
        <v>7.2649256866681353E-4</v>
      </c>
      <c r="M10" s="27">
        <f t="shared" si="4"/>
        <v>9.4829205021448953E-2</v>
      </c>
      <c r="N10" s="27">
        <f t="shared" si="5"/>
        <v>9.4829205021448953E-2</v>
      </c>
    </row>
    <row r="11" spans="1:16">
      <c r="A11" s="29" t="s">
        <v>55</v>
      </c>
      <c r="B11" s="29" t="s">
        <v>46</v>
      </c>
      <c r="C11" s="30">
        <v>3.39</v>
      </c>
      <c r="D11" s="31">
        <v>0.19500000000000001</v>
      </c>
      <c r="E11" s="31">
        <f t="shared" si="6"/>
        <v>0.3125</v>
      </c>
      <c r="F11" s="31"/>
      <c r="G11" s="32">
        <v>5.8000000000000003E-2</v>
      </c>
      <c r="H11" s="31">
        <v>0.158</v>
      </c>
      <c r="I11" s="31">
        <f t="shared" si="0"/>
        <v>4.6834274231094083E-2</v>
      </c>
      <c r="J11" s="33">
        <f t="shared" si="1"/>
        <v>3.9715830440735218E-4</v>
      </c>
      <c r="K11" s="33">
        <f t="shared" si="2"/>
        <v>2.5418131482070538E-3</v>
      </c>
      <c r="L11" s="27">
        <f t="shared" si="3"/>
        <v>7.9431660881470437E-4</v>
      </c>
      <c r="M11" s="27">
        <f t="shared" si="4"/>
        <v>9.2087339656437034E-2</v>
      </c>
      <c r="N11" s="27">
        <f t="shared" si="5"/>
        <v>9.2087339656437034E-2</v>
      </c>
    </row>
    <row r="12" spans="1:16">
      <c r="A12" s="29" t="s">
        <v>56</v>
      </c>
      <c r="B12" s="29" t="s">
        <v>46</v>
      </c>
      <c r="C12" s="30">
        <v>5.34</v>
      </c>
      <c r="D12" s="31">
        <v>0.182</v>
      </c>
      <c r="E12" s="31">
        <f t="shared" si="6"/>
        <v>0.3125</v>
      </c>
      <c r="F12" s="31"/>
      <c r="G12" s="32">
        <v>6.5000000000000002E-2</v>
      </c>
      <c r="H12" s="31">
        <v>0.17219999999999999</v>
      </c>
      <c r="I12" s="31">
        <f t="shared" si="0"/>
        <v>5.0683510629904983E-2</v>
      </c>
      <c r="J12" s="33">
        <f t="shared" si="1"/>
        <v>4.1427513694103943E-4</v>
      </c>
      <c r="K12" s="33">
        <f t="shared" si="2"/>
        <v>2.6513608764226525E-3</v>
      </c>
      <c r="L12" s="27">
        <f t="shared" si="3"/>
        <v>8.2855027388207885E-4</v>
      </c>
      <c r="M12" s="27">
        <f t="shared" si="4"/>
        <v>9.04088802330833E-2</v>
      </c>
      <c r="N12" s="27">
        <f t="shared" si="5"/>
        <v>9.04088802330833E-2</v>
      </c>
    </row>
    <row r="13" spans="1:16">
      <c r="A13" s="29" t="s">
        <v>242</v>
      </c>
      <c r="B13" s="29" t="s">
        <v>46</v>
      </c>
      <c r="C13" s="30">
        <v>2.99</v>
      </c>
      <c r="D13" s="31">
        <v>0.14649999999999999</v>
      </c>
      <c r="E13" s="31">
        <f t="shared" si="6"/>
        <v>0.3125</v>
      </c>
      <c r="F13" s="31"/>
      <c r="G13" s="32">
        <v>8.3000000000000004E-2</v>
      </c>
      <c r="H13" s="34" t="s">
        <v>243</v>
      </c>
      <c r="I13" s="31">
        <f t="shared" si="0"/>
        <v>5.9842627661905172E-2</v>
      </c>
      <c r="J13" s="33">
        <f t="shared" si="1"/>
        <v>4.4552275269654068E-4</v>
      </c>
      <c r="K13" s="33">
        <f t="shared" si="2"/>
        <v>2.8513456172578602E-3</v>
      </c>
      <c r="L13" s="27">
        <f t="shared" si="3"/>
        <v>8.9104550539308137E-4</v>
      </c>
      <c r="M13" s="27">
        <f t="shared" si="4"/>
        <v>8.6283870161230014E-2</v>
      </c>
      <c r="N13" s="27">
        <f t="shared" si="5"/>
        <v>8.6283870161230014E-2</v>
      </c>
    </row>
    <row r="14" spans="1:16">
      <c r="A14" s="29" t="s">
        <v>57</v>
      </c>
      <c r="B14" s="29" t="s">
        <v>46</v>
      </c>
      <c r="C14" s="30">
        <v>3.2</v>
      </c>
      <c r="D14" s="31">
        <v>0.31900000000000001</v>
      </c>
      <c r="E14" s="31">
        <v>0.375</v>
      </c>
      <c r="F14" s="31"/>
      <c r="G14" s="32">
        <v>2.8000000000000001E-2</v>
      </c>
      <c r="H14" s="31">
        <v>0.1038</v>
      </c>
      <c r="I14" s="31">
        <f t="shared" si="0"/>
        <v>3.0523714222278425E-2</v>
      </c>
      <c r="J14" s="33">
        <f t="shared" si="1"/>
        <v>4.6240756221757368E-4</v>
      </c>
      <c r="K14" s="33">
        <f t="shared" si="2"/>
        <v>2.4661736651603928E-3</v>
      </c>
      <c r="L14" s="27">
        <f t="shared" si="3"/>
        <v>9.2481512443514735E-4</v>
      </c>
      <c r="M14" s="27">
        <f t="shared" si="4"/>
        <v>0.12308178175505911</v>
      </c>
      <c r="N14" s="27">
        <f t="shared" si="5"/>
        <v>0.12308178175505911</v>
      </c>
    </row>
    <row r="15" spans="1:16">
      <c r="A15" s="29" t="s">
        <v>58</v>
      </c>
      <c r="B15" s="29" t="s">
        <v>46</v>
      </c>
      <c r="C15" s="30">
        <v>3.15</v>
      </c>
      <c r="D15" s="31">
        <v>0.30499999999999999</v>
      </c>
      <c r="E15" s="31">
        <v>0.375</v>
      </c>
      <c r="F15" s="31"/>
      <c r="G15" s="32">
        <v>3.5000000000000003E-2</v>
      </c>
      <c r="H15" s="31">
        <v>0.12709999999999999</v>
      </c>
      <c r="I15" s="31">
        <f t="shared" si="0"/>
        <v>3.7384952577718539E-2</v>
      </c>
      <c r="J15" s="33">
        <f t="shared" si="1"/>
        <v>5.4593713561149613E-4</v>
      </c>
      <c r="K15" s="33">
        <f t="shared" si="2"/>
        <v>2.9116647232613128E-3</v>
      </c>
      <c r="L15" s="27">
        <f t="shared" si="3"/>
        <v>1.0918742712229923E-3</v>
      </c>
      <c r="M15" s="27">
        <f t="shared" si="4"/>
        <v>0.12084339038606953</v>
      </c>
      <c r="N15" s="27">
        <f t="shared" si="5"/>
        <v>0.12084339038606953</v>
      </c>
    </row>
    <row r="16" spans="1:16">
      <c r="A16" s="29" t="s">
        <v>59</v>
      </c>
      <c r="B16" s="29" t="s">
        <v>46</v>
      </c>
      <c r="C16" s="30">
        <v>3.22</v>
      </c>
      <c r="D16" s="31">
        <v>0.27700000000000002</v>
      </c>
      <c r="E16" s="31">
        <v>0.375</v>
      </c>
      <c r="F16" s="31"/>
      <c r="G16" s="32">
        <v>4.9000000000000002E-2</v>
      </c>
      <c r="H16" s="31">
        <v>0.1706</v>
      </c>
      <c r="I16" s="31">
        <f t="shared" si="0"/>
        <v>5.018380104844334E-2</v>
      </c>
      <c r="J16" s="33">
        <f t="shared" si="1"/>
        <v>6.8172811831770973E-4</v>
      </c>
      <c r="K16" s="33">
        <f t="shared" si="2"/>
        <v>3.6358832976944519E-3</v>
      </c>
      <c r="L16" s="27">
        <f t="shared" si="3"/>
        <v>1.3634562366354195E-3</v>
      </c>
      <c r="M16" s="27">
        <f t="shared" si="4"/>
        <v>0.11655309948688625</v>
      </c>
      <c r="N16" s="27">
        <f t="shared" si="5"/>
        <v>0.11655309948688625</v>
      </c>
    </row>
    <row r="17" spans="1:14">
      <c r="A17" s="29" t="s">
        <v>60</v>
      </c>
      <c r="B17" s="29" t="s">
        <v>46</v>
      </c>
      <c r="C17" s="30">
        <v>3.28</v>
      </c>
      <c r="D17" s="31">
        <v>0.25900000000000001</v>
      </c>
      <c r="E17" s="31">
        <v>0.375</v>
      </c>
      <c r="F17" s="31"/>
      <c r="G17" s="32">
        <v>5.8000000000000003E-2</v>
      </c>
      <c r="H17" s="31">
        <v>0.19639999999999999</v>
      </c>
      <c r="I17" s="31">
        <f t="shared" si="0"/>
        <v>5.7761322528901933E-2</v>
      </c>
      <c r="J17" s="33">
        <f t="shared" si="1"/>
        <v>7.4983582857425653E-4</v>
      </c>
      <c r="K17" s="33">
        <f t="shared" si="2"/>
        <v>3.9991244190627018E-3</v>
      </c>
      <c r="L17" s="27">
        <f t="shared" si="3"/>
        <v>1.4996716571485131E-3</v>
      </c>
      <c r="M17" s="27">
        <f t="shared" si="4"/>
        <v>0.11393693431017003</v>
      </c>
      <c r="N17" s="27">
        <f t="shared" si="5"/>
        <v>0.11393693431017003</v>
      </c>
    </row>
    <row r="18" spans="1:14">
      <c r="A18" s="29" t="s">
        <v>61</v>
      </c>
      <c r="B18" s="29" t="s">
        <v>46</v>
      </c>
      <c r="C18" s="30">
        <v>4.16</v>
      </c>
      <c r="D18" s="31">
        <v>0.249</v>
      </c>
      <c r="E18" s="31">
        <v>0.375</v>
      </c>
      <c r="F18" s="31"/>
      <c r="G18" s="32">
        <v>6.5000000000000002E-2</v>
      </c>
      <c r="H18" s="31">
        <v>0.2152</v>
      </c>
      <c r="I18" s="31">
        <f t="shared" si="0"/>
        <v>6.1751145198960973E-2</v>
      </c>
      <c r="J18" s="33">
        <f t="shared" si="1"/>
        <v>7.8202422169279171E-4</v>
      </c>
      <c r="K18" s="33">
        <f t="shared" si="2"/>
        <v>4.1707958490282224E-3</v>
      </c>
      <c r="L18" s="27">
        <f t="shared" si="3"/>
        <v>1.5640484433855834E-3</v>
      </c>
      <c r="M18" s="27">
        <f t="shared" si="4"/>
        <v>0.11253499455724873</v>
      </c>
      <c r="N18" s="27">
        <f t="shared" si="5"/>
        <v>0.11253499455724873</v>
      </c>
    </row>
    <row r="19" spans="1:14">
      <c r="A19" s="29" t="s">
        <v>62</v>
      </c>
      <c r="B19" s="29" t="s">
        <v>46</v>
      </c>
      <c r="C19" s="30">
        <v>3.49</v>
      </c>
      <c r="D19" s="31">
        <v>0.20899999999999999</v>
      </c>
      <c r="E19" s="31">
        <v>0.375</v>
      </c>
      <c r="F19" s="31"/>
      <c r="G19" s="32">
        <v>8.3000000000000004E-2</v>
      </c>
      <c r="H19" s="31">
        <v>0.25879999999999997</v>
      </c>
      <c r="I19" s="31">
        <f t="shared" si="0"/>
        <v>7.613963955240223E-2</v>
      </c>
      <c r="J19" s="33">
        <f t="shared" si="1"/>
        <v>8.7706202545906526E-4</v>
      </c>
      <c r="K19" s="33">
        <f t="shared" si="2"/>
        <v>4.6776641357816817E-3</v>
      </c>
      <c r="L19" s="27">
        <f t="shared" si="3"/>
        <v>1.7541240509181305E-3</v>
      </c>
      <c r="M19" s="27">
        <f t="shared" si="4"/>
        <v>0.10732718667700183</v>
      </c>
      <c r="N19" s="27">
        <f t="shared" si="5"/>
        <v>0.10732718667700183</v>
      </c>
    </row>
    <row r="20" spans="1:14">
      <c r="A20" s="29" t="s">
        <v>63</v>
      </c>
      <c r="B20" s="29" t="s">
        <v>46</v>
      </c>
      <c r="C20" s="30">
        <v>8.02</v>
      </c>
      <c r="D20" s="31">
        <v>0.185</v>
      </c>
      <c r="E20" s="31">
        <v>0.375</v>
      </c>
      <c r="F20" s="31"/>
      <c r="G20" s="32">
        <v>9.5000000000000001E-2</v>
      </c>
      <c r="H20" s="31">
        <v>0.28410000000000002</v>
      </c>
      <c r="I20" s="31">
        <f t="shared" si="0"/>
        <v>8.3566364585488495E-2</v>
      </c>
      <c r="J20" s="33">
        <f t="shared" si="1"/>
        <v>9.1322367798579143E-4</v>
      </c>
      <c r="K20" s="33">
        <f t="shared" si="2"/>
        <v>4.8705262825908873E-3</v>
      </c>
      <c r="L20" s="27">
        <f t="shared" si="3"/>
        <v>1.8264473559715829E-3</v>
      </c>
      <c r="M20" s="27">
        <f t="shared" si="4"/>
        <v>0.10453767263527537</v>
      </c>
      <c r="N20" s="27">
        <f t="shared" si="5"/>
        <v>0.10453767263527537</v>
      </c>
    </row>
    <row r="21" spans="1:14">
      <c r="A21" s="29" t="s">
        <v>244</v>
      </c>
      <c r="B21" s="29" t="s">
        <v>46</v>
      </c>
      <c r="C21" s="30">
        <v>2.86</v>
      </c>
      <c r="D21" s="31">
        <v>0.38150000000000001</v>
      </c>
      <c r="E21" s="31">
        <f t="shared" ref="E21:E27" si="7">7/16</f>
        <v>0.4375</v>
      </c>
      <c r="F21" s="31"/>
      <c r="G21" s="32">
        <v>2.8000000000000001E-2</v>
      </c>
      <c r="H21" s="34" t="s">
        <v>243</v>
      </c>
      <c r="I21" s="31">
        <f>PI()*((E21/2)^2-(D21/2)^2)</f>
        <v>3.6021501366060561E-2</v>
      </c>
      <c r="J21" s="33">
        <f t="shared" si="1"/>
        <v>7.5858692831512844E-4</v>
      </c>
      <c r="K21" s="33">
        <f t="shared" si="2"/>
        <v>3.4678259580120155E-3</v>
      </c>
      <c r="L21" s="27">
        <f t="shared" si="3"/>
        <v>1.5171738566302569E-3</v>
      </c>
      <c r="M21" s="27">
        <f t="shared" si="4"/>
        <v>0.14511816306031439</v>
      </c>
      <c r="N21" s="27">
        <f t="shared" si="5"/>
        <v>0.14511816306031439</v>
      </c>
    </row>
    <row r="22" spans="1:14">
      <c r="A22" s="29" t="s">
        <v>64</v>
      </c>
      <c r="B22" s="29" t="s">
        <v>46</v>
      </c>
      <c r="C22" s="30">
        <v>2.86</v>
      </c>
      <c r="D22" s="31">
        <v>0.36699999999999999</v>
      </c>
      <c r="E22" s="31">
        <f t="shared" si="7"/>
        <v>0.4375</v>
      </c>
      <c r="F22" s="31"/>
      <c r="G22" s="32">
        <v>3.5000000000000003E-2</v>
      </c>
      <c r="H22" s="31">
        <v>0.15060000000000001</v>
      </c>
      <c r="I22" s="31">
        <f t="shared" si="0"/>
        <v>4.4545623982953919E-2</v>
      </c>
      <c r="J22" s="33">
        <f t="shared" si="1"/>
        <v>9.0788227432045973E-4</v>
      </c>
      <c r="K22" s="33">
        <f t="shared" si="2"/>
        <v>4.1503189683221014E-3</v>
      </c>
      <c r="L22" s="27">
        <f t="shared" si="3"/>
        <v>1.8157645486409195E-3</v>
      </c>
      <c r="M22" s="27">
        <f t="shared" si="4"/>
        <v>0.14276187560059583</v>
      </c>
      <c r="N22" s="27">
        <f t="shared" si="5"/>
        <v>0.14276187560059583</v>
      </c>
    </row>
    <row r="23" spans="1:14">
      <c r="A23" s="29" t="s">
        <v>65</v>
      </c>
      <c r="B23" s="29" t="s">
        <v>46</v>
      </c>
      <c r="C23" s="30">
        <v>4.0199999999999996</v>
      </c>
      <c r="D23" s="31">
        <v>0.34</v>
      </c>
      <c r="E23" s="31">
        <f t="shared" si="7"/>
        <v>0.4375</v>
      </c>
      <c r="F23" s="31"/>
      <c r="G23" s="32">
        <v>4.9000000000000002E-2</v>
      </c>
      <c r="H23" s="31">
        <v>0.2036</v>
      </c>
      <c r="I23" s="31">
        <f t="shared" si="0"/>
        <v>5.9538089524047794E-2</v>
      </c>
      <c r="J23" s="33">
        <f t="shared" si="1"/>
        <v>1.1424103498088875E-3</v>
      </c>
      <c r="K23" s="33">
        <f t="shared" si="2"/>
        <v>5.2224473134120574E-3</v>
      </c>
      <c r="L23" s="27">
        <f t="shared" si="3"/>
        <v>2.2848206996177751E-3</v>
      </c>
      <c r="M23" s="27">
        <f t="shared" si="4"/>
        <v>0.13852036177039101</v>
      </c>
      <c r="N23" s="27">
        <f t="shared" si="5"/>
        <v>0.13852036177039101</v>
      </c>
    </row>
    <row r="24" spans="1:14">
      <c r="A24" s="29" t="s">
        <v>66</v>
      </c>
      <c r="B24" s="29" t="s">
        <v>46</v>
      </c>
      <c r="C24" s="30">
        <v>7.22</v>
      </c>
      <c r="D24" s="31">
        <v>0.32200000000000001</v>
      </c>
      <c r="E24" s="31">
        <f t="shared" si="7"/>
        <v>0.4375</v>
      </c>
      <c r="F24" s="31"/>
      <c r="G24" s="32">
        <v>5.8000000000000003E-2</v>
      </c>
      <c r="H24" s="31">
        <v>0.2354</v>
      </c>
      <c r="I24" s="31">
        <f t="shared" si="0"/>
        <v>6.8896894039091799E-2</v>
      </c>
      <c r="J24" s="33">
        <f t="shared" si="1"/>
        <v>1.2706751053886943E-3</v>
      </c>
      <c r="K24" s="33">
        <f t="shared" si="2"/>
        <v>5.8088004817768877E-3</v>
      </c>
      <c r="L24" s="27">
        <f t="shared" si="3"/>
        <v>2.5413502107773885E-3</v>
      </c>
      <c r="M24" s="27">
        <f t="shared" si="4"/>
        <v>0.13580552501647347</v>
      </c>
      <c r="N24" s="27">
        <f t="shared" si="5"/>
        <v>0.13580552501647347</v>
      </c>
    </row>
    <row r="25" spans="1:14">
      <c r="A25" s="29" t="s">
        <v>67</v>
      </c>
      <c r="B25" s="29" t="s">
        <v>46</v>
      </c>
      <c r="C25" s="30">
        <v>3.24</v>
      </c>
      <c r="D25" s="31">
        <v>0.307</v>
      </c>
      <c r="E25" s="31">
        <f t="shared" si="7"/>
        <v>0.4375</v>
      </c>
      <c r="F25" s="31"/>
      <c r="G25" s="32">
        <v>6.5000000000000002E-2</v>
      </c>
      <c r="H25" s="31">
        <v>0.25890000000000002</v>
      </c>
      <c r="I25" s="31">
        <f t="shared" si="0"/>
        <v>7.6307125710746729E-2</v>
      </c>
      <c r="J25" s="33">
        <f t="shared" si="1"/>
        <v>1.3623456919802993E-3</v>
      </c>
      <c r="K25" s="33">
        <f t="shared" si="2"/>
        <v>6.2278660204813678E-3</v>
      </c>
      <c r="L25" s="27">
        <f t="shared" si="3"/>
        <v>2.7246913839605986E-3</v>
      </c>
      <c r="M25" s="27">
        <f t="shared" si="4"/>
        <v>0.13361681452945959</v>
      </c>
      <c r="N25" s="27">
        <f t="shared" si="5"/>
        <v>0.13361681452945959</v>
      </c>
    </row>
    <row r="26" spans="1:14">
      <c r="A26" s="29" t="s">
        <v>68</v>
      </c>
      <c r="B26" s="29" t="s">
        <v>46</v>
      </c>
      <c r="C26" s="30">
        <v>3.39</v>
      </c>
      <c r="D26" s="31">
        <v>0.247</v>
      </c>
      <c r="E26" s="31">
        <f t="shared" si="7"/>
        <v>0.4375</v>
      </c>
      <c r="F26" s="31"/>
      <c r="G26" s="32">
        <v>9.5000000000000001E-2</v>
      </c>
      <c r="H26" s="31">
        <v>0.34799999999999998</v>
      </c>
      <c r="I26" s="31">
        <f t="shared" si="0"/>
        <v>0.10241376066207791</v>
      </c>
      <c r="J26" s="33">
        <f t="shared" si="1"/>
        <v>1.6156746875599102E-3</v>
      </c>
      <c r="K26" s="33">
        <f t="shared" si="2"/>
        <v>7.3859414288453039E-3</v>
      </c>
      <c r="L26" s="27">
        <f t="shared" si="3"/>
        <v>3.2313493751198203E-3</v>
      </c>
      <c r="M26" s="27">
        <f t="shared" si="4"/>
        <v>0.12560236114420778</v>
      </c>
      <c r="N26" s="27">
        <f t="shared" si="5"/>
        <v>0.12560236114420778</v>
      </c>
    </row>
    <row r="27" spans="1:14">
      <c r="A27" s="29" t="s">
        <v>69</v>
      </c>
      <c r="B27" s="29" t="s">
        <v>46</v>
      </c>
      <c r="C27" s="30">
        <v>3.85</v>
      </c>
      <c r="D27" s="31">
        <v>0.19700000000000001</v>
      </c>
      <c r="E27" s="31">
        <f t="shared" si="7"/>
        <v>0.4375</v>
      </c>
      <c r="F27" s="31"/>
      <c r="G27" s="32">
        <v>0.12</v>
      </c>
      <c r="H27" s="31">
        <v>0.40749999999999997</v>
      </c>
      <c r="I27" s="31">
        <f t="shared" si="0"/>
        <v>0.11984959988950125</v>
      </c>
      <c r="J27" s="33">
        <f t="shared" si="1"/>
        <v>1.7244503500600942E-3</v>
      </c>
      <c r="K27" s="33">
        <f t="shared" si="2"/>
        <v>7.8832016002747165E-3</v>
      </c>
      <c r="L27" s="27">
        <f t="shared" si="3"/>
        <v>3.4489007001201884E-3</v>
      </c>
      <c r="M27" s="27">
        <f t="shared" si="4"/>
        <v>0.11995187837212055</v>
      </c>
      <c r="N27" s="27">
        <f t="shared" si="5"/>
        <v>0.11995187837212055</v>
      </c>
    </row>
    <row r="28" spans="1:14">
      <c r="A28" s="29" t="s">
        <v>70</v>
      </c>
      <c r="B28" s="29" t="s">
        <v>46</v>
      </c>
      <c r="C28" s="30">
        <v>4.8899999999999997</v>
      </c>
      <c r="D28" s="31">
        <v>0.44400000000000001</v>
      </c>
      <c r="E28" s="31">
        <v>0.5</v>
      </c>
      <c r="F28" s="31"/>
      <c r="G28" s="32">
        <v>2.8000000000000001E-2</v>
      </c>
      <c r="H28" s="31">
        <v>0.1411</v>
      </c>
      <c r="I28" s="31">
        <f t="shared" si="0"/>
        <v>4.1519288509842704E-2</v>
      </c>
      <c r="J28" s="33">
        <f t="shared" si="1"/>
        <v>1.1602980366960643E-3</v>
      </c>
      <c r="K28" s="33">
        <f t="shared" si="2"/>
        <v>4.6411921467842572E-3</v>
      </c>
      <c r="L28" s="27">
        <f t="shared" si="3"/>
        <v>2.3205960733921286E-3</v>
      </c>
      <c r="M28" s="27">
        <f t="shared" si="4"/>
        <v>0.16717057157286985</v>
      </c>
      <c r="N28" s="27">
        <f t="shared" si="5"/>
        <v>0.16717057157286985</v>
      </c>
    </row>
    <row r="29" spans="1:14">
      <c r="A29" s="29" t="s">
        <v>71</v>
      </c>
      <c r="B29" s="29" t="s">
        <v>46</v>
      </c>
      <c r="C29" s="30">
        <v>2.25</v>
      </c>
      <c r="D29" s="31">
        <v>0.43</v>
      </c>
      <c r="E29" s="31">
        <v>0.5</v>
      </c>
      <c r="F29" s="31"/>
      <c r="G29" s="32">
        <v>3.5000000000000003E-2</v>
      </c>
      <c r="H29" s="31">
        <v>0.17380000000000001</v>
      </c>
      <c r="I29" s="31">
        <f t="shared" si="0"/>
        <v>5.1129420437173896E-2</v>
      </c>
      <c r="J29" s="33">
        <f t="shared" si="1"/>
        <v>1.3897615592579331E-3</v>
      </c>
      <c r="K29" s="33">
        <f t="shared" si="2"/>
        <v>5.5590462370317326E-3</v>
      </c>
      <c r="L29" s="27">
        <f t="shared" si="3"/>
        <v>2.7795231185158663E-3</v>
      </c>
      <c r="M29" s="27">
        <f t="shared" si="4"/>
        <v>0.16486737093797549</v>
      </c>
      <c r="N29" s="27">
        <f t="shared" si="5"/>
        <v>0.16486737093797549</v>
      </c>
    </row>
    <row r="30" spans="1:14">
      <c r="A30" s="29" t="s">
        <v>72</v>
      </c>
      <c r="B30" s="29" t="s">
        <v>46</v>
      </c>
      <c r="C30" s="30">
        <v>3.19</v>
      </c>
      <c r="D30" s="31">
        <v>0.40200000000000002</v>
      </c>
      <c r="E30" s="31">
        <v>0.5</v>
      </c>
      <c r="F30" s="31"/>
      <c r="G30" s="32">
        <v>4.9000000000000002E-2</v>
      </c>
      <c r="H30" s="31">
        <v>0.23599999999999999</v>
      </c>
      <c r="I30" s="31">
        <f t="shared" si="0"/>
        <v>6.9426056051680812E-2</v>
      </c>
      <c r="J30" s="33">
        <f t="shared" si="1"/>
        <v>1.7860026484435019E-3</v>
      </c>
      <c r="K30" s="33">
        <f t="shared" si="2"/>
        <v>7.1440105937740075E-3</v>
      </c>
      <c r="L30" s="27">
        <f t="shared" si="3"/>
        <v>3.5720052968870038E-3</v>
      </c>
      <c r="M30" s="27">
        <f t="shared" si="4"/>
        <v>0.16039092867116894</v>
      </c>
      <c r="N30" s="27">
        <f t="shared" si="5"/>
        <v>0.16039092867116894</v>
      </c>
    </row>
    <row r="31" spans="1:14">
      <c r="A31" s="29" t="s">
        <v>73</v>
      </c>
      <c r="B31" s="29" t="s">
        <v>46</v>
      </c>
      <c r="C31" s="30">
        <v>3.45</v>
      </c>
      <c r="D31" s="31">
        <v>0.38400000000000001</v>
      </c>
      <c r="E31" s="31">
        <v>0.5</v>
      </c>
      <c r="F31" s="31"/>
      <c r="G31" s="32">
        <v>5.8000000000000003E-2</v>
      </c>
      <c r="H31" s="31">
        <v>0.27379999999999999</v>
      </c>
      <c r="I31" s="31">
        <f t="shared" si="0"/>
        <v>8.0537869267427939E-2</v>
      </c>
      <c r="J31" s="33">
        <f t="shared" si="1"/>
        <v>2.0006412104721775E-3</v>
      </c>
      <c r="K31" s="33">
        <f t="shared" si="2"/>
        <v>8.00256484188871E-3</v>
      </c>
      <c r="L31" s="27">
        <f t="shared" si="3"/>
        <v>4.001282420944355E-3</v>
      </c>
      <c r="M31" s="27">
        <f t="shared" si="4"/>
        <v>0.157610278852618</v>
      </c>
      <c r="N31" s="27">
        <f t="shared" si="5"/>
        <v>0.157610278852618</v>
      </c>
    </row>
    <row r="32" spans="1:14">
      <c r="A32" s="29" t="s">
        <v>74</v>
      </c>
      <c r="B32" s="29" t="s">
        <v>46</v>
      </c>
      <c r="C32" s="30">
        <v>3.4</v>
      </c>
      <c r="D32" s="31">
        <v>0.37</v>
      </c>
      <c r="E32" s="31">
        <v>0.5</v>
      </c>
      <c r="F32" s="31"/>
      <c r="G32" s="32">
        <v>6.5000000000000002E-2</v>
      </c>
      <c r="H32" s="31">
        <v>0.30199999999999999</v>
      </c>
      <c r="I32" s="31">
        <f t="shared" si="0"/>
        <v>8.8828532280251407E-2</v>
      </c>
      <c r="J32" s="33">
        <f t="shared" si="1"/>
        <v>2.147984946201829E-3</v>
      </c>
      <c r="K32" s="33">
        <f t="shared" si="2"/>
        <v>8.5919397848073162E-3</v>
      </c>
      <c r="L32" s="27">
        <f t="shared" si="3"/>
        <v>4.2959698924036581E-3</v>
      </c>
      <c r="M32" s="27">
        <f t="shared" si="4"/>
        <v>0.15550321540083986</v>
      </c>
      <c r="N32" s="27">
        <f t="shared" si="5"/>
        <v>0.15550321540083986</v>
      </c>
    </row>
    <row r="33" spans="1:25">
      <c r="A33" s="29" t="s">
        <v>75</v>
      </c>
      <c r="B33" s="29" t="s">
        <v>46</v>
      </c>
      <c r="C33" s="30">
        <v>3.6</v>
      </c>
      <c r="D33" s="31">
        <v>0.33400000000000002</v>
      </c>
      <c r="E33" s="31">
        <v>0.5</v>
      </c>
      <c r="F33" s="31"/>
      <c r="G33" s="32">
        <v>8.3000000000000004E-2</v>
      </c>
      <c r="H33" s="31">
        <v>0.36959999999999998</v>
      </c>
      <c r="I33" s="31">
        <f t="shared" si="0"/>
        <v>0.10873366333339632</v>
      </c>
      <c r="J33" s="33">
        <f t="shared" si="1"/>
        <v>2.4570817737605902E-3</v>
      </c>
      <c r="K33" s="33">
        <f t="shared" si="2"/>
        <v>9.8283270950423607E-3</v>
      </c>
      <c r="L33" s="27">
        <f t="shared" si="3"/>
        <v>4.9141635475211803E-3</v>
      </c>
      <c r="M33" s="27">
        <f t="shared" si="4"/>
        <v>0.15032381714152951</v>
      </c>
      <c r="N33" s="27">
        <f t="shared" si="5"/>
        <v>0.15032381714152951</v>
      </c>
    </row>
    <row r="34" spans="1:25">
      <c r="A34" s="29" t="s">
        <v>76</v>
      </c>
      <c r="B34" s="29" t="s">
        <v>46</v>
      </c>
      <c r="C34" s="30">
        <v>4.54</v>
      </c>
      <c r="D34" s="31">
        <v>0.31</v>
      </c>
      <c r="E34" s="31">
        <v>0.5</v>
      </c>
      <c r="F34" s="31"/>
      <c r="G34" s="32">
        <v>9.5000000000000001E-2</v>
      </c>
      <c r="H34" s="31">
        <v>0.41089999999999999</v>
      </c>
      <c r="I34" s="31">
        <f t="shared" si="0"/>
        <v>0.12087277734686727</v>
      </c>
      <c r="J34" s="33">
        <f t="shared" si="1"/>
        <v>2.6146292649844231E-3</v>
      </c>
      <c r="K34" s="33">
        <f t="shared" si="2"/>
        <v>1.0458517059937692E-2</v>
      </c>
      <c r="L34" s="27">
        <f t="shared" si="3"/>
        <v>5.2292585299688462E-3</v>
      </c>
      <c r="M34" s="27">
        <f t="shared" si="4"/>
        <v>0.14707566080082729</v>
      </c>
      <c r="N34" s="27">
        <f t="shared" si="5"/>
        <v>0.14707566080082729</v>
      </c>
    </row>
    <row r="35" spans="1:25">
      <c r="A35" s="29" t="s">
        <v>77</v>
      </c>
      <c r="B35" s="29" t="s">
        <v>46</v>
      </c>
      <c r="C35" s="30">
        <v>5.85</v>
      </c>
      <c r="D35" s="31">
        <v>0.26</v>
      </c>
      <c r="E35" s="31">
        <v>0.5</v>
      </c>
      <c r="F35" s="31"/>
      <c r="G35" s="32">
        <v>0.12</v>
      </c>
      <c r="H35" s="31">
        <v>0.48699999999999999</v>
      </c>
      <c r="I35" s="31">
        <f t="shared" si="0"/>
        <v>0.14325662500369457</v>
      </c>
      <c r="J35" s="33">
        <f t="shared" si="1"/>
        <v>2.843644006323337E-3</v>
      </c>
      <c r="K35" s="33">
        <f t="shared" si="2"/>
        <v>1.1374576025293348E-2</v>
      </c>
      <c r="L35" s="27">
        <f t="shared" si="3"/>
        <v>5.6872880126466741E-3</v>
      </c>
      <c r="M35" s="27">
        <f t="shared" si="4"/>
        <v>0.14089002803605372</v>
      </c>
      <c r="N35" s="27">
        <f t="shared" si="5"/>
        <v>0.14089002803605372</v>
      </c>
    </row>
    <row r="36" spans="1:25">
      <c r="A36" s="29" t="s">
        <v>78</v>
      </c>
      <c r="B36" s="29" t="s">
        <v>46</v>
      </c>
      <c r="C36" s="30">
        <v>6.72</v>
      </c>
      <c r="D36" s="31">
        <v>0.49199999999999999</v>
      </c>
      <c r="E36" s="31">
        <f>9/16</f>
        <v>0.5625</v>
      </c>
      <c r="F36" s="31"/>
      <c r="G36" s="32">
        <v>3.5000000000000003E-2</v>
      </c>
      <c r="H36" s="31">
        <v>0.19739999999999999</v>
      </c>
      <c r="I36" s="31">
        <f t="shared" si="0"/>
        <v>5.8388266612833951E-2</v>
      </c>
      <c r="J36" s="33">
        <f t="shared" si="1"/>
        <v>2.038006865771002E-3</v>
      </c>
      <c r="K36" s="33">
        <f t="shared" si="2"/>
        <v>7.246246633852451E-3</v>
      </c>
      <c r="L36" s="27">
        <f t="shared" si="3"/>
        <v>4.0760137315420039E-3</v>
      </c>
      <c r="M36" s="27">
        <f t="shared" si="4"/>
        <v>0.18682716779151795</v>
      </c>
      <c r="N36" s="27">
        <f t="shared" si="5"/>
        <v>0.18682716779151795</v>
      </c>
    </row>
    <row r="37" spans="1:25">
      <c r="A37" s="29" t="s">
        <v>79</v>
      </c>
      <c r="B37" s="29" t="s">
        <v>46</v>
      </c>
      <c r="C37" s="30">
        <v>6.89</v>
      </c>
      <c r="D37" s="31">
        <v>0.46400000000000002</v>
      </c>
      <c r="E37" s="31">
        <f>9/16</f>
        <v>0.5625</v>
      </c>
      <c r="F37" s="31"/>
      <c r="G37" s="32">
        <v>4.9000000000000002E-2</v>
      </c>
      <c r="H37" s="31">
        <v>0.26900000000000002</v>
      </c>
      <c r="I37" s="31">
        <f t="shared" si="0"/>
        <v>7.9411804650656836E-2</v>
      </c>
      <c r="J37" s="33">
        <f t="shared" si="1"/>
        <v>2.6389647005821688E-3</v>
      </c>
      <c r="K37" s="33">
        <f t="shared" si="2"/>
        <v>9.3829856020699338E-3</v>
      </c>
      <c r="L37" s="27">
        <f t="shared" si="3"/>
        <v>5.2779294011643376E-3</v>
      </c>
      <c r="M37" s="27">
        <f t="shared" si="4"/>
        <v>0.18229479044942562</v>
      </c>
      <c r="N37" s="27">
        <f t="shared" si="5"/>
        <v>0.18229479044942562</v>
      </c>
    </row>
    <row r="38" spans="1:25">
      <c r="A38" s="29" t="s">
        <v>80</v>
      </c>
      <c r="B38" s="29" t="s">
        <v>46</v>
      </c>
      <c r="C38" s="30">
        <v>4.37</v>
      </c>
      <c r="D38" s="31">
        <v>0.432</v>
      </c>
      <c r="E38" s="31">
        <f>9/16</f>
        <v>0.5625</v>
      </c>
      <c r="F38" s="31"/>
      <c r="G38" s="32">
        <v>6.5000000000000002E-2</v>
      </c>
      <c r="H38" s="31">
        <v>0.34570000000000001</v>
      </c>
      <c r="I38" s="31">
        <f t="shared" si="0"/>
        <v>0.10193074079158849</v>
      </c>
      <c r="J38" s="33">
        <f t="shared" si="1"/>
        <v>3.2046403764423729E-3</v>
      </c>
      <c r="K38" s="33">
        <f t="shared" si="2"/>
        <v>1.1394276894017326E-2</v>
      </c>
      <c r="L38" s="27">
        <f t="shared" si="3"/>
        <v>6.4092807528847457E-3</v>
      </c>
      <c r="M38" s="27">
        <f t="shared" si="4"/>
        <v>0.17731156370919526</v>
      </c>
      <c r="N38" s="27">
        <f t="shared" si="5"/>
        <v>0.17731156370919526</v>
      </c>
    </row>
    <row r="39" spans="1:25">
      <c r="A39" s="29" t="s">
        <v>81</v>
      </c>
      <c r="B39" s="29" t="s">
        <v>46</v>
      </c>
      <c r="C39" s="30">
        <v>8.2899999999999991</v>
      </c>
      <c r="D39" s="31">
        <v>0.32200000000000001</v>
      </c>
      <c r="E39" s="31">
        <f>9/16</f>
        <v>0.5625</v>
      </c>
      <c r="F39" s="31"/>
      <c r="G39" s="32">
        <v>0.12</v>
      </c>
      <c r="H39" s="31">
        <v>0.56769999999999998</v>
      </c>
      <c r="I39" s="31">
        <f t="shared" si="0"/>
        <v>0.16707166446377283</v>
      </c>
      <c r="J39" s="33">
        <f t="shared" si="1"/>
        <v>4.3865735807814034E-3</v>
      </c>
      <c r="K39" s="33">
        <f t="shared" si="2"/>
        <v>1.5596706065000545E-2</v>
      </c>
      <c r="L39" s="27">
        <f t="shared" si="3"/>
        <v>8.7731471615628068E-3</v>
      </c>
      <c r="M39" s="27">
        <f t="shared" si="4"/>
        <v>0.16203592387183777</v>
      </c>
      <c r="N39" s="27">
        <f t="shared" si="5"/>
        <v>0.16203592387183777</v>
      </c>
    </row>
    <row r="40" spans="1:25">
      <c r="A40" s="29" t="s">
        <v>82</v>
      </c>
      <c r="B40" s="29" t="s">
        <v>46</v>
      </c>
      <c r="C40" s="30">
        <v>3.29</v>
      </c>
      <c r="D40" s="31">
        <v>0.56899999999999995</v>
      </c>
      <c r="E40" s="31">
        <v>0.625</v>
      </c>
      <c r="F40" s="31"/>
      <c r="G40" s="32">
        <v>2.8000000000000001E-2</v>
      </c>
      <c r="H40" s="31">
        <v>0.17849999999999999</v>
      </c>
      <c r="I40" s="31">
        <f t="shared" si="0"/>
        <v>5.2514862797407011E-2</v>
      </c>
      <c r="J40" s="33">
        <f t="shared" si="1"/>
        <v>2.3447426733992755E-3</v>
      </c>
      <c r="K40" s="33">
        <f t="shared" si="2"/>
        <v>7.5031765548776814E-3</v>
      </c>
      <c r="L40" s="27">
        <f t="shared" si="3"/>
        <v>4.689485346798551E-3</v>
      </c>
      <c r="M40" s="27">
        <f t="shared" si="4"/>
        <v>0.21130339561871694</v>
      </c>
      <c r="N40" s="27">
        <f t="shared" si="5"/>
        <v>0.21130339561871694</v>
      </c>
    </row>
    <row r="41" spans="1:25">
      <c r="A41" s="29" t="s">
        <v>83</v>
      </c>
      <c r="B41" s="29" t="s">
        <v>46</v>
      </c>
      <c r="C41" s="30">
        <v>2.94</v>
      </c>
      <c r="D41" s="31">
        <v>0.55500000000000005</v>
      </c>
      <c r="E41" s="31">
        <v>0.625</v>
      </c>
      <c r="F41" s="31"/>
      <c r="G41" s="32">
        <v>3.5000000000000003E-2</v>
      </c>
      <c r="H41" s="31">
        <v>0.2205</v>
      </c>
      <c r="I41" s="31">
        <f t="shared" si="0"/>
        <v>6.4873888296629184E-2</v>
      </c>
      <c r="J41" s="33">
        <f t="shared" si="1"/>
        <v>2.8327588786524992E-3</v>
      </c>
      <c r="K41" s="33">
        <f t="shared" si="2"/>
        <v>9.0648284116879967E-3</v>
      </c>
      <c r="L41" s="27">
        <f t="shared" si="3"/>
        <v>5.6655177573049983E-3</v>
      </c>
      <c r="M41" s="27">
        <f t="shared" si="4"/>
        <v>0.20896321446608732</v>
      </c>
      <c r="N41" s="27">
        <f t="shared" si="5"/>
        <v>0.20896321446608732</v>
      </c>
    </row>
    <row r="42" spans="1:25">
      <c r="A42" s="29" t="s">
        <v>84</v>
      </c>
      <c r="B42" s="29" t="s">
        <v>46</v>
      </c>
      <c r="C42" s="30">
        <v>2.4900000000000002</v>
      </c>
      <c r="D42" s="31">
        <v>0.52700000000000002</v>
      </c>
      <c r="E42" s="31">
        <v>0.625</v>
      </c>
      <c r="F42" s="31"/>
      <c r="G42" s="32">
        <v>4.9000000000000002E-2</v>
      </c>
      <c r="H42" s="31">
        <v>0.3014</v>
      </c>
      <c r="I42" s="31">
        <f t="shared" si="0"/>
        <v>8.866831105491832E-2</v>
      </c>
      <c r="J42" s="33">
        <f t="shared" si="1"/>
        <v>3.7038637729249297E-3</v>
      </c>
      <c r="K42" s="33">
        <f t="shared" si="2"/>
        <v>1.1852364073359776E-2</v>
      </c>
      <c r="L42" s="27">
        <f t="shared" si="3"/>
        <v>7.4077275458498595E-3</v>
      </c>
      <c r="M42" s="27">
        <f t="shared" si="4"/>
        <v>0.20438230109282945</v>
      </c>
      <c r="N42" s="27">
        <f t="shared" si="5"/>
        <v>0.20438230109282945</v>
      </c>
      <c r="W42" s="3"/>
      <c r="X42" s="3"/>
      <c r="Y42" s="3"/>
    </row>
    <row r="43" spans="1:25">
      <c r="A43" s="29" t="s">
        <v>85</v>
      </c>
      <c r="B43" s="29" t="s">
        <v>46</v>
      </c>
      <c r="C43" s="30">
        <v>2.79</v>
      </c>
      <c r="D43" s="31">
        <v>0.50900000000000001</v>
      </c>
      <c r="E43" s="31">
        <v>0.625</v>
      </c>
      <c r="F43" s="31"/>
      <c r="G43" s="32">
        <v>5.8000000000000003E-2</v>
      </c>
      <c r="H43" s="31">
        <v>0.35120000000000001</v>
      </c>
      <c r="I43" s="31">
        <f t="shared" si="0"/>
        <v>0.10331441600595394</v>
      </c>
      <c r="J43" s="33">
        <f t="shared" si="1"/>
        <v>4.1952497478477688E-3</v>
      </c>
      <c r="K43" s="33">
        <f t="shared" si="2"/>
        <v>1.342479919311286E-2</v>
      </c>
      <c r="L43" s="27">
        <f t="shared" si="3"/>
        <v>8.3904994956955376E-3</v>
      </c>
      <c r="M43" s="27">
        <f t="shared" si="4"/>
        <v>0.20151085578697739</v>
      </c>
      <c r="N43" s="27">
        <f t="shared" si="5"/>
        <v>0.20151085578697739</v>
      </c>
      <c r="W43" s="4"/>
      <c r="X43" s="4"/>
      <c r="Y43" s="3"/>
    </row>
    <row r="44" spans="1:25">
      <c r="A44" s="29" t="s">
        <v>86</v>
      </c>
      <c r="B44" s="29" t="s">
        <v>46</v>
      </c>
      <c r="C44" s="30">
        <v>3.32</v>
      </c>
      <c r="D44" s="31">
        <v>0.495</v>
      </c>
      <c r="E44" s="31">
        <v>0.625</v>
      </c>
      <c r="F44" s="31"/>
      <c r="G44" s="32">
        <v>6.5000000000000002E-2</v>
      </c>
      <c r="H44" s="31">
        <v>0.35120000000000001</v>
      </c>
      <c r="I44" s="31">
        <f t="shared" si="0"/>
        <v>0.11435397259066847</v>
      </c>
      <c r="J44" s="33">
        <f t="shared" si="1"/>
        <v>4.5430689173286513E-3</v>
      </c>
      <c r="K44" s="33">
        <f t="shared" si="2"/>
        <v>1.4537820535451685E-2</v>
      </c>
      <c r="L44" s="27">
        <f t="shared" si="3"/>
        <v>9.0861378346573027E-3</v>
      </c>
      <c r="M44" s="27">
        <f t="shared" si="4"/>
        <v>0.19931915362051889</v>
      </c>
      <c r="N44" s="27">
        <f t="shared" si="5"/>
        <v>0.19931915362051889</v>
      </c>
      <c r="W44" s="3"/>
      <c r="X44" s="3"/>
      <c r="Y44" s="3"/>
    </row>
    <row r="45" spans="1:25">
      <c r="A45" s="29" t="s">
        <v>245</v>
      </c>
      <c r="B45" s="29" t="s">
        <v>46</v>
      </c>
      <c r="C45" s="30">
        <v>3.9</v>
      </c>
      <c r="D45" s="31">
        <v>0.45900000000000002</v>
      </c>
      <c r="E45" s="31">
        <v>0.625</v>
      </c>
      <c r="F45" s="31"/>
      <c r="G45" s="32">
        <v>8.3000000000000004E-2</v>
      </c>
      <c r="H45" s="34" t="s">
        <v>243</v>
      </c>
      <c r="I45" s="31">
        <f t="shared" si="0"/>
        <v>0.14132768711439042</v>
      </c>
      <c r="J45" s="33">
        <f t="shared" si="1"/>
        <v>5.3113241392503535E-3</v>
      </c>
      <c r="K45" s="33">
        <f t="shared" si="2"/>
        <v>1.6996237245601131E-2</v>
      </c>
      <c r="L45" s="27">
        <f t="shared" si="3"/>
        <v>1.0622648278500707E-2</v>
      </c>
      <c r="M45" s="27">
        <f t="shared" si="4"/>
        <v>0.19385980759301297</v>
      </c>
      <c r="N45" s="27">
        <f t="shared" si="5"/>
        <v>0.19385980759301297</v>
      </c>
    </row>
    <row r="46" spans="1:25">
      <c r="A46" s="29" t="s">
        <v>87</v>
      </c>
      <c r="B46" s="29" t="s">
        <v>46</v>
      </c>
      <c r="C46" s="30">
        <v>7.15</v>
      </c>
      <c r="D46" s="31">
        <v>0.435</v>
      </c>
      <c r="E46" s="31">
        <v>0.625</v>
      </c>
      <c r="F46" s="31"/>
      <c r="G46" s="32">
        <v>9.5000000000000001E-2</v>
      </c>
      <c r="H46" s="31">
        <v>0.53769999999999996</v>
      </c>
      <c r="I46" s="31">
        <f t="shared" si="0"/>
        <v>0.15817919010824608</v>
      </c>
      <c r="J46" s="33">
        <f t="shared" si="1"/>
        <v>5.7325127115166559E-3</v>
      </c>
      <c r="K46" s="33">
        <f t="shared" si="2"/>
        <v>1.8344040676853298E-2</v>
      </c>
      <c r="L46" s="27">
        <f t="shared" si="3"/>
        <v>1.1465025423033312E-2</v>
      </c>
      <c r="M46" s="27">
        <f t="shared" si="4"/>
        <v>0.19036970609842313</v>
      </c>
      <c r="N46" s="27">
        <f t="shared" si="5"/>
        <v>0.19036970609842313</v>
      </c>
    </row>
    <row r="47" spans="1:25">
      <c r="A47" s="29" t="s">
        <v>88</v>
      </c>
      <c r="B47" s="29" t="s">
        <v>46</v>
      </c>
      <c r="C47" s="30">
        <v>4.7699999999999996</v>
      </c>
      <c r="D47" s="31">
        <v>0.38500000000000001</v>
      </c>
      <c r="E47" s="31">
        <v>0.625</v>
      </c>
      <c r="F47" s="31"/>
      <c r="G47" s="32">
        <v>0.12</v>
      </c>
      <c r="H47" s="31">
        <v>0.6472</v>
      </c>
      <c r="I47" s="31">
        <f t="shared" si="0"/>
        <v>0.19038051480754148</v>
      </c>
      <c r="J47" s="33">
        <f t="shared" si="1"/>
        <v>6.4116587752527324E-3</v>
      </c>
      <c r="K47" s="33">
        <f t="shared" si="2"/>
        <v>2.0517308080808743E-2</v>
      </c>
      <c r="L47" s="27">
        <f t="shared" si="3"/>
        <v>1.2823317550505465E-2</v>
      </c>
      <c r="M47" s="27">
        <f t="shared" si="4"/>
        <v>0.18351600747618721</v>
      </c>
      <c r="N47" s="27">
        <f t="shared" si="5"/>
        <v>0.18351600747618721</v>
      </c>
    </row>
    <row r="48" spans="1:25">
      <c r="A48" s="29" t="s">
        <v>89</v>
      </c>
      <c r="B48" s="29" t="s">
        <v>46</v>
      </c>
      <c r="C48" s="30">
        <v>5.0999999999999996</v>
      </c>
      <c r="D48" s="31">
        <v>0.313</v>
      </c>
      <c r="E48" s="31">
        <v>0.625</v>
      </c>
      <c r="F48" s="31"/>
      <c r="G48" s="32">
        <v>0.156</v>
      </c>
      <c r="H48" s="31">
        <v>0.78139999999999998</v>
      </c>
      <c r="I48" s="31">
        <f t="shared" si="0"/>
        <v>0.22985148490724364</v>
      </c>
      <c r="J48" s="33">
        <f t="shared" si="1"/>
        <v>7.0190035260481115E-3</v>
      </c>
      <c r="K48" s="33">
        <f t="shared" si="2"/>
        <v>2.2460811283353956E-2</v>
      </c>
      <c r="L48" s="27">
        <f t="shared" si="3"/>
        <v>1.4038007052096223E-2</v>
      </c>
      <c r="M48" s="27">
        <f t="shared" si="4"/>
        <v>0.17474874820724753</v>
      </c>
      <c r="N48" s="27">
        <f t="shared" si="5"/>
        <v>0.17474874820724753</v>
      </c>
    </row>
    <row r="49" spans="1:14">
      <c r="A49" s="29" t="s">
        <v>90</v>
      </c>
      <c r="B49" s="29" t="s">
        <v>46</v>
      </c>
      <c r="C49" s="30">
        <v>3.24</v>
      </c>
      <c r="D49" s="31">
        <v>0.69399999999999995</v>
      </c>
      <c r="E49" s="31">
        <v>0.75</v>
      </c>
      <c r="F49" s="31"/>
      <c r="G49" s="32">
        <v>2.8000000000000001E-2</v>
      </c>
      <c r="H49" s="31">
        <v>0.21590000000000001</v>
      </c>
      <c r="I49" s="31">
        <f t="shared" si="0"/>
        <v>6.3510437084971297E-2</v>
      </c>
      <c r="J49" s="33">
        <f t="shared" si="1"/>
        <v>4.1445958585095985E-3</v>
      </c>
      <c r="K49" s="33">
        <f t="shared" si="2"/>
        <v>1.1052255622692263E-2</v>
      </c>
      <c r="L49" s="27">
        <f t="shared" si="3"/>
        <v>8.2891917170191971E-3</v>
      </c>
      <c r="M49" s="27">
        <f t="shared" si="4"/>
        <v>0.25545743285330336</v>
      </c>
      <c r="N49" s="27">
        <f t="shared" si="5"/>
        <v>0.25545743285330336</v>
      </c>
    </row>
    <row r="50" spans="1:14">
      <c r="A50" s="29" t="s">
        <v>91</v>
      </c>
      <c r="B50" s="29" t="s">
        <v>46</v>
      </c>
      <c r="C50" s="30">
        <v>3.52</v>
      </c>
      <c r="D50" s="31">
        <v>0.68</v>
      </c>
      <c r="E50" s="31">
        <v>0.75</v>
      </c>
      <c r="F50" s="31"/>
      <c r="G50" s="32">
        <v>3.5000000000000003E-2</v>
      </c>
      <c r="H50" s="31">
        <v>0.26729999999999998</v>
      </c>
      <c r="I50" s="31">
        <f t="shared" si="0"/>
        <v>7.8618356156084507E-2</v>
      </c>
      <c r="J50" s="33">
        <f t="shared" si="1"/>
        <v>5.0359970765231883E-3</v>
      </c>
      <c r="K50" s="33">
        <f t="shared" si="2"/>
        <v>1.3429325537395169E-2</v>
      </c>
      <c r="L50" s="27">
        <f t="shared" si="3"/>
        <v>1.0071994153046377E-2</v>
      </c>
      <c r="M50" s="27">
        <f t="shared" si="4"/>
        <v>0.25309336222034745</v>
      </c>
      <c r="N50" s="27">
        <f t="shared" si="5"/>
        <v>0.25309336222034745</v>
      </c>
    </row>
    <row r="51" spans="1:14">
      <c r="A51" s="29" t="s">
        <v>92</v>
      </c>
      <c r="B51" s="29" t="s">
        <v>46</v>
      </c>
      <c r="C51" s="30">
        <v>2.89</v>
      </c>
      <c r="D51" s="31">
        <v>0.65200000000000002</v>
      </c>
      <c r="E51" s="31">
        <v>0.75</v>
      </c>
      <c r="F51" s="31"/>
      <c r="G51" s="32">
        <v>4.9000000000000002E-2</v>
      </c>
      <c r="H51" s="31">
        <v>0.36680000000000001</v>
      </c>
      <c r="I51" s="31">
        <f t="shared" si="0"/>
        <v>0.10791056605815577</v>
      </c>
      <c r="J51" s="33">
        <f t="shared" si="1"/>
        <v>6.6608066675811796E-3</v>
      </c>
      <c r="K51" s="33">
        <f t="shared" si="2"/>
        <v>1.7762151113549812E-2</v>
      </c>
      <c r="L51" s="27">
        <f t="shared" si="3"/>
        <v>1.3321613335162359E-2</v>
      </c>
      <c r="M51" s="27">
        <f t="shared" si="4"/>
        <v>0.24844566810471863</v>
      </c>
      <c r="N51" s="27">
        <f t="shared" si="5"/>
        <v>0.24844566810471863</v>
      </c>
    </row>
    <row r="52" spans="1:14">
      <c r="A52" s="29" t="s">
        <v>93</v>
      </c>
      <c r="B52" s="29" t="s">
        <v>46</v>
      </c>
      <c r="C52" s="30">
        <v>2.89</v>
      </c>
      <c r="D52" s="31">
        <v>0.63400000000000001</v>
      </c>
      <c r="E52" s="31">
        <v>0.75</v>
      </c>
      <c r="F52" s="31"/>
      <c r="G52" s="32">
        <v>5.8000000000000003E-2</v>
      </c>
      <c r="H52" s="31">
        <v>0.42870000000000003</v>
      </c>
      <c r="I52" s="31">
        <f t="shared" si="0"/>
        <v>0.1260909627444799</v>
      </c>
      <c r="J52" s="33">
        <f t="shared" si="1"/>
        <v>7.6005740977931327E-3</v>
      </c>
      <c r="K52" s="33">
        <f t="shared" si="2"/>
        <v>2.0268197594115019E-2</v>
      </c>
      <c r="L52" s="27">
        <f t="shared" si="3"/>
        <v>1.5201148195586265E-2</v>
      </c>
      <c r="M52" s="27">
        <f t="shared" si="4"/>
        <v>0.2455168018690371</v>
      </c>
      <c r="N52" s="27">
        <f t="shared" si="5"/>
        <v>0.2455168018690371</v>
      </c>
    </row>
    <row r="53" spans="1:14">
      <c r="A53" s="29" t="s">
        <v>94</v>
      </c>
      <c r="B53" s="29" t="s">
        <v>46</v>
      </c>
      <c r="C53" s="30">
        <v>2.85</v>
      </c>
      <c r="D53" s="31">
        <v>0.62</v>
      </c>
      <c r="E53" s="31">
        <v>0.75</v>
      </c>
      <c r="F53" s="31"/>
      <c r="G53" s="32">
        <v>6.5000000000000002E-2</v>
      </c>
      <c r="H53" s="31">
        <v>0.47549999999999998</v>
      </c>
      <c r="I53" s="31">
        <f t="shared" si="0"/>
        <v>0.13987941290108552</v>
      </c>
      <c r="J53" s="33">
        <f t="shared" si="1"/>
        <v>8.2782385047523686E-3</v>
      </c>
      <c r="K53" s="33">
        <f t="shared" si="2"/>
        <v>2.2075302679339649E-2</v>
      </c>
      <c r="L53" s="27">
        <f t="shared" si="3"/>
        <v>1.6556477009504737E-2</v>
      </c>
      <c r="M53" s="27">
        <f t="shared" si="4"/>
        <v>0.24327196714788166</v>
      </c>
      <c r="N53" s="27">
        <f t="shared" si="5"/>
        <v>0.24327196714788166</v>
      </c>
    </row>
    <row r="54" spans="1:14">
      <c r="A54" s="29" t="s">
        <v>95</v>
      </c>
      <c r="B54" s="29" t="s">
        <v>46</v>
      </c>
      <c r="C54" s="30">
        <v>6.71</v>
      </c>
      <c r="D54" s="31">
        <v>0.56000000000000005</v>
      </c>
      <c r="E54" s="31">
        <v>0.75</v>
      </c>
      <c r="F54" s="31"/>
      <c r="G54" s="32">
        <v>9.5000000000000001E-2</v>
      </c>
      <c r="H54" s="31">
        <v>0.66459999999999997</v>
      </c>
      <c r="I54" s="31">
        <f t="shared" si="0"/>
        <v>0.19548560286962485</v>
      </c>
      <c r="J54" s="33">
        <f t="shared" si="1"/>
        <v>1.0704058542129895E-2</v>
      </c>
      <c r="K54" s="33">
        <f t="shared" si="2"/>
        <v>2.8544156112346387E-2</v>
      </c>
      <c r="L54" s="27">
        <f t="shared" si="3"/>
        <v>2.1408117084259791E-2</v>
      </c>
      <c r="M54" s="27">
        <f t="shared" si="4"/>
        <v>0.23400053418742445</v>
      </c>
      <c r="N54" s="27">
        <f t="shared" si="5"/>
        <v>0.23400053418742445</v>
      </c>
    </row>
    <row r="55" spans="1:14">
      <c r="A55" s="29" t="s">
        <v>96</v>
      </c>
      <c r="B55" s="29" t="s">
        <v>46</v>
      </c>
      <c r="C55" s="30">
        <v>4.78</v>
      </c>
      <c r="D55" s="31">
        <v>0.51</v>
      </c>
      <c r="E55" s="31">
        <v>0.75</v>
      </c>
      <c r="F55" s="31"/>
      <c r="G55" s="32">
        <v>0.12</v>
      </c>
      <c r="H55" s="31">
        <v>0.80740000000000001</v>
      </c>
      <c r="I55" s="31">
        <f t="shared" si="0"/>
        <v>0.23750440461138836</v>
      </c>
      <c r="J55" s="33">
        <f t="shared" si="1"/>
        <v>1.2210695202083005E-2</v>
      </c>
      <c r="K55" s="33">
        <f t="shared" si="2"/>
        <v>3.2561853872221345E-2</v>
      </c>
      <c r="L55" s="27">
        <f t="shared" si="3"/>
        <v>2.4421390404166011E-2</v>
      </c>
      <c r="M55" s="27">
        <f t="shared" si="4"/>
        <v>0.22674324686746464</v>
      </c>
      <c r="N55" s="27">
        <f t="shared" si="5"/>
        <v>0.22674324686746464</v>
      </c>
    </row>
    <row r="56" spans="1:14">
      <c r="A56" s="29" t="s">
        <v>97</v>
      </c>
      <c r="B56" s="29" t="s">
        <v>46</v>
      </c>
      <c r="C56" s="30">
        <v>6.5</v>
      </c>
      <c r="D56" s="31">
        <v>0.437</v>
      </c>
      <c r="E56" s="31">
        <v>0.75</v>
      </c>
      <c r="F56" s="31"/>
      <c r="G56" s="32">
        <v>0.156</v>
      </c>
      <c r="H56" s="31">
        <v>0.98970000000000002</v>
      </c>
      <c r="I56" s="31">
        <f t="shared" si="0"/>
        <v>0.29179976504521737</v>
      </c>
      <c r="J56" s="33">
        <f t="shared" si="1"/>
        <v>1.3741379823053429E-2</v>
      </c>
      <c r="K56" s="33">
        <f t="shared" si="2"/>
        <v>3.664367952814248E-2</v>
      </c>
      <c r="L56" s="27">
        <f t="shared" si="3"/>
        <v>2.7482759646106858E-2</v>
      </c>
      <c r="M56" s="27">
        <f t="shared" si="4"/>
        <v>0.21700648031798497</v>
      </c>
      <c r="N56" s="27">
        <f t="shared" si="5"/>
        <v>0.21700648031798497</v>
      </c>
    </row>
    <row r="57" spans="1:14">
      <c r="A57" s="29" t="s">
        <v>98</v>
      </c>
      <c r="B57" s="29" t="s">
        <v>46</v>
      </c>
      <c r="C57" s="30">
        <v>7.66</v>
      </c>
      <c r="D57" s="31">
        <f>3/8</f>
        <v>0.375</v>
      </c>
      <c r="E57" s="31">
        <v>0.75</v>
      </c>
      <c r="F57" s="31"/>
      <c r="G57" s="32">
        <v>0.188</v>
      </c>
      <c r="H57" s="31">
        <v>1.1259999999999999</v>
      </c>
      <c r="I57" s="31">
        <f t="shared" si="0"/>
        <v>0.33133985018329848</v>
      </c>
      <c r="J57" s="33">
        <f t="shared" si="1"/>
        <v>1.4560833260008234E-2</v>
      </c>
      <c r="K57" s="33">
        <f t="shared" si="2"/>
        <v>3.8828888693355289E-2</v>
      </c>
      <c r="L57" s="27">
        <f t="shared" si="3"/>
        <v>2.9121666520016468E-2</v>
      </c>
      <c r="M57" s="27">
        <f t="shared" si="4"/>
        <v>0.20963137289060529</v>
      </c>
      <c r="N57" s="27">
        <f t="shared" si="5"/>
        <v>0.20963137289060529</v>
      </c>
    </row>
    <row r="58" spans="1:14">
      <c r="A58" s="29" t="s">
        <v>99</v>
      </c>
      <c r="B58" s="29" t="s">
        <v>46</v>
      </c>
      <c r="C58" s="30">
        <v>3.2</v>
      </c>
      <c r="D58" s="31">
        <v>0.81899999999999995</v>
      </c>
      <c r="E58" s="31">
        <v>0.875</v>
      </c>
      <c r="F58" s="31"/>
      <c r="G58" s="32">
        <v>2.8000000000000001E-2</v>
      </c>
      <c r="H58" s="31">
        <v>0.25330000000000003</v>
      </c>
      <c r="I58" s="31">
        <f t="shared" si="0"/>
        <v>7.4506011372535583E-2</v>
      </c>
      <c r="J58" s="33">
        <f t="shared" si="1"/>
        <v>6.6887119782094292E-3</v>
      </c>
      <c r="K58" s="33">
        <f t="shared" si="2"/>
        <v>1.5288484521621553E-2</v>
      </c>
      <c r="L58" s="27">
        <f t="shared" si="3"/>
        <v>1.3377423956418858E-2</v>
      </c>
      <c r="M58" s="27">
        <f t="shared" si="4"/>
        <v>0.29962330516833963</v>
      </c>
      <c r="N58" s="27">
        <f t="shared" si="5"/>
        <v>0.29962330516833963</v>
      </c>
    </row>
    <row r="59" spans="1:14">
      <c r="A59" s="29" t="s">
        <v>100</v>
      </c>
      <c r="B59" s="29" t="s">
        <v>46</v>
      </c>
      <c r="C59" s="30">
        <v>2.29</v>
      </c>
      <c r="D59" s="31">
        <v>0.80500000000000005</v>
      </c>
      <c r="E59" s="31">
        <v>0.875</v>
      </c>
      <c r="F59" s="31"/>
      <c r="G59" s="32">
        <v>3.5000000000000003E-2</v>
      </c>
      <c r="H59" s="31">
        <v>0.314</v>
      </c>
      <c r="I59" s="31">
        <f t="shared" si="0"/>
        <v>9.2362824015539857E-2</v>
      </c>
      <c r="J59" s="33">
        <f t="shared" si="1"/>
        <v>8.1605441355979951E-3</v>
      </c>
      <c r="K59" s="33">
        <f t="shared" si="2"/>
        <v>1.8652672309938275E-2</v>
      </c>
      <c r="L59" s="27">
        <f t="shared" si="3"/>
        <v>1.632108827119599E-2</v>
      </c>
      <c r="M59" s="27">
        <f t="shared" si="4"/>
        <v>0.29724253565060299</v>
      </c>
      <c r="N59" s="27">
        <f t="shared" si="5"/>
        <v>0.29724253565060299</v>
      </c>
    </row>
    <row r="60" spans="1:14">
      <c r="A60" s="29" t="s">
        <v>101</v>
      </c>
      <c r="B60" s="29" t="s">
        <v>46</v>
      </c>
      <c r="C60" s="30">
        <v>3.01</v>
      </c>
      <c r="D60" s="31">
        <v>0.77700000000000002</v>
      </c>
      <c r="E60" s="31">
        <v>0.875</v>
      </c>
      <c r="F60" s="31"/>
      <c r="G60" s="32">
        <v>4.9000000000000002E-2</v>
      </c>
      <c r="H60" s="31">
        <v>0.43230000000000002</v>
      </c>
      <c r="I60" s="31">
        <f t="shared" si="0"/>
        <v>0.12715282106139322</v>
      </c>
      <c r="J60" s="33">
        <f t="shared" si="1"/>
        <v>1.0882326508231442E-2</v>
      </c>
      <c r="K60" s="33">
        <f t="shared" si="2"/>
        <v>2.487388916167187E-2</v>
      </c>
      <c r="L60" s="27">
        <f t="shared" si="3"/>
        <v>2.1764653016462885E-2</v>
      </c>
      <c r="M60" s="27">
        <f t="shared" si="4"/>
        <v>0.29254850025252227</v>
      </c>
      <c r="N60" s="27">
        <f t="shared" si="5"/>
        <v>0.29254850025252227</v>
      </c>
    </row>
    <row r="61" spans="1:14">
      <c r="A61" s="29" t="s">
        <v>102</v>
      </c>
      <c r="B61" s="29" t="s">
        <v>46</v>
      </c>
      <c r="C61" s="30">
        <v>4.8899999999999997</v>
      </c>
      <c r="D61" s="31">
        <v>0.75900000000000001</v>
      </c>
      <c r="E61" s="31">
        <v>0.875</v>
      </c>
      <c r="F61" s="31"/>
      <c r="G61" s="32">
        <v>5.8000000000000003E-2</v>
      </c>
      <c r="H61" s="31">
        <v>0.50609999999999999</v>
      </c>
      <c r="I61" s="31">
        <f t="shared" si="0"/>
        <v>0.14886750948300589</v>
      </c>
      <c r="J61" s="33">
        <f t="shared" si="1"/>
        <v>1.2483526917400371E-2</v>
      </c>
      <c r="K61" s="33">
        <f t="shared" si="2"/>
        <v>2.8533775811200847E-2</v>
      </c>
      <c r="L61" s="27">
        <f t="shared" si="3"/>
        <v>2.4967053834800742E-2</v>
      </c>
      <c r="M61" s="27">
        <f t="shared" si="4"/>
        <v>0.28958008391462287</v>
      </c>
      <c r="N61" s="27">
        <f t="shared" si="5"/>
        <v>0.28958008391462287</v>
      </c>
    </row>
    <row r="62" spans="1:14">
      <c r="A62" s="29" t="s">
        <v>103</v>
      </c>
      <c r="B62" s="29" t="s">
        <v>46</v>
      </c>
      <c r="C62" s="30">
        <v>4.8899999999999997</v>
      </c>
      <c r="D62" s="31">
        <v>0.745</v>
      </c>
      <c r="E62" s="31">
        <v>0.875</v>
      </c>
      <c r="F62" s="31"/>
      <c r="G62" s="32">
        <v>6.5000000000000002E-2</v>
      </c>
      <c r="H62" s="31">
        <v>0.56230000000000002</v>
      </c>
      <c r="I62" s="31">
        <f t="shared" si="0"/>
        <v>0.16540485321150261</v>
      </c>
      <c r="J62" s="33">
        <f t="shared" si="1"/>
        <v>1.3652619962110684E-2</v>
      </c>
      <c r="K62" s="33">
        <f t="shared" si="2"/>
        <v>3.1205988484824421E-2</v>
      </c>
      <c r="L62" s="27">
        <f t="shared" si="3"/>
        <v>2.7305239924221368E-2</v>
      </c>
      <c r="M62" s="27">
        <f t="shared" si="4"/>
        <v>0.28729884267083294</v>
      </c>
      <c r="N62" s="27">
        <f t="shared" si="5"/>
        <v>0.28729884267083294</v>
      </c>
    </row>
    <row r="63" spans="1:14">
      <c r="A63" s="29" t="s">
        <v>104</v>
      </c>
      <c r="B63" s="29" t="s">
        <v>46</v>
      </c>
      <c r="C63" s="30">
        <v>4.3</v>
      </c>
      <c r="D63" s="31">
        <v>0.70899999999999996</v>
      </c>
      <c r="E63" s="31">
        <v>0.875</v>
      </c>
      <c r="F63" s="31"/>
      <c r="G63" s="32">
        <v>8.3000000000000004E-2</v>
      </c>
      <c r="H63" s="31">
        <v>0.70209999999999995</v>
      </c>
      <c r="I63" s="31">
        <f t="shared" si="0"/>
        <v>0.20651573467637868</v>
      </c>
      <c r="J63" s="33">
        <f t="shared" si="1"/>
        <v>1.6370321586528697E-2</v>
      </c>
      <c r="K63" s="33">
        <f t="shared" si="2"/>
        <v>3.7417877912065592E-2</v>
      </c>
      <c r="L63" s="27">
        <f t="shared" si="3"/>
        <v>3.2740643173057395E-2</v>
      </c>
      <c r="M63" s="27">
        <f t="shared" si="4"/>
        <v>0.28154773129968569</v>
      </c>
      <c r="N63" s="27">
        <f t="shared" si="5"/>
        <v>0.28154773129968569</v>
      </c>
    </row>
    <row r="64" spans="1:14">
      <c r="A64" s="29" t="s">
        <v>105</v>
      </c>
      <c r="B64" s="29" t="s">
        <v>46</v>
      </c>
      <c r="C64" s="30">
        <v>7.15</v>
      </c>
      <c r="D64" s="31">
        <v>0.68500000000000005</v>
      </c>
      <c r="E64" s="31">
        <v>0.875</v>
      </c>
      <c r="F64" s="31"/>
      <c r="G64" s="32">
        <v>9.5000000000000001E-2</v>
      </c>
      <c r="H64" s="31">
        <v>0.79139999999999999</v>
      </c>
      <c r="I64" s="31">
        <f t="shared" si="0"/>
        <v>0.23279201563100363</v>
      </c>
      <c r="J64" s="33">
        <f t="shared" si="1"/>
        <v>1.7966451281371552E-2</v>
      </c>
      <c r="K64" s="33">
        <f t="shared" si="2"/>
        <v>4.1066174357420694E-2</v>
      </c>
      <c r="L64" s="27">
        <f t="shared" si="3"/>
        <v>3.5932902562743105E-2</v>
      </c>
      <c r="M64" s="27">
        <f t="shared" si="4"/>
        <v>0.27780951207617066</v>
      </c>
      <c r="N64" s="27">
        <f t="shared" si="5"/>
        <v>0.27780951207617066</v>
      </c>
    </row>
    <row r="65" spans="1:14">
      <c r="A65" s="29" t="s">
        <v>106</v>
      </c>
      <c r="B65" s="29" t="s">
        <v>46</v>
      </c>
      <c r="C65" s="30">
        <v>6.12</v>
      </c>
      <c r="D65" s="31">
        <v>0.63500000000000001</v>
      </c>
      <c r="E65" s="31">
        <v>0.875</v>
      </c>
      <c r="F65" s="31"/>
      <c r="G65" s="32">
        <v>0.12</v>
      </c>
      <c r="H65" s="31">
        <v>0.96760000000000002</v>
      </c>
      <c r="I65" s="31">
        <f t="shared" si="0"/>
        <v>0.28462829441523524</v>
      </c>
      <c r="J65" s="33">
        <f t="shared" si="1"/>
        <v>2.0792986370452984E-2</v>
      </c>
      <c r="K65" s="33">
        <f t="shared" si="2"/>
        <v>4.7526825989606822E-2</v>
      </c>
      <c r="L65" s="27">
        <f t="shared" si="3"/>
        <v>4.1585972740905967E-2</v>
      </c>
      <c r="M65" s="27">
        <f t="shared" si="4"/>
        <v>0.2702834160654331</v>
      </c>
      <c r="N65" s="27">
        <f t="shared" si="5"/>
        <v>0.2702834160654331</v>
      </c>
    </row>
    <row r="66" spans="1:14">
      <c r="A66" s="29" t="s">
        <v>107</v>
      </c>
      <c r="B66" s="29" t="s">
        <v>46</v>
      </c>
      <c r="C66" s="30">
        <v>8.89</v>
      </c>
      <c r="D66" s="31">
        <v>0.5</v>
      </c>
      <c r="E66" s="31">
        <v>0.875</v>
      </c>
      <c r="F66" s="31"/>
      <c r="G66" s="32">
        <v>0.188</v>
      </c>
      <c r="H66" s="31">
        <v>1.379</v>
      </c>
      <c r="I66" s="31">
        <f t="shared" si="0"/>
        <v>0.40497092800180928</v>
      </c>
      <c r="J66" s="33">
        <f t="shared" si="1"/>
        <v>2.5706162421989847E-2</v>
      </c>
      <c r="K66" s="33">
        <f t="shared" si="2"/>
        <v>5.8756942678833933E-2</v>
      </c>
      <c r="L66" s="27">
        <f t="shared" si="3"/>
        <v>5.1412324843979694E-2</v>
      </c>
      <c r="M66" s="27">
        <f t="shared" si="4"/>
        <v>0.25194555463432966</v>
      </c>
      <c r="N66" s="27">
        <f t="shared" si="5"/>
        <v>0.25194555463432966</v>
      </c>
    </row>
    <row r="67" spans="1:14">
      <c r="A67" s="29" t="s">
        <v>108</v>
      </c>
      <c r="B67" s="29" t="s">
        <v>46</v>
      </c>
      <c r="C67" s="30">
        <v>5.55</v>
      </c>
      <c r="D67" s="31">
        <v>0.94399999999999995</v>
      </c>
      <c r="E67" s="31">
        <v>1</v>
      </c>
      <c r="F67" s="31"/>
      <c r="G67" s="32">
        <v>2.8000000000000001E-2</v>
      </c>
      <c r="H67" s="31">
        <v>0.29070000000000001</v>
      </c>
      <c r="I67" s="31">
        <f t="shared" si="0"/>
        <v>8.5501585660099869E-2</v>
      </c>
      <c r="J67" s="33">
        <f t="shared" si="1"/>
        <v>1.0105945418681163E-2</v>
      </c>
      <c r="K67" s="33">
        <f t="shared" si="2"/>
        <v>2.0211890837362325E-2</v>
      </c>
      <c r="L67" s="27">
        <f t="shared" si="3"/>
        <v>2.0211890837362325E-2</v>
      </c>
      <c r="M67" s="27">
        <f t="shared" si="4"/>
        <v>0.34379645140693349</v>
      </c>
      <c r="N67" s="27">
        <f t="shared" si="5"/>
        <v>0.34379645140693349</v>
      </c>
    </row>
    <row r="68" spans="1:14">
      <c r="A68" s="29" t="s">
        <v>109</v>
      </c>
      <c r="B68" s="29" t="s">
        <v>46</v>
      </c>
      <c r="C68" s="30">
        <v>3.44</v>
      </c>
      <c r="D68" s="31">
        <v>0.93</v>
      </c>
      <c r="E68" s="31">
        <v>1</v>
      </c>
      <c r="F68" s="31"/>
      <c r="G68" s="32">
        <v>3.5000000000000003E-2</v>
      </c>
      <c r="H68" s="31">
        <v>0.36070000000000002</v>
      </c>
      <c r="I68" s="31">
        <f t="shared" si="0"/>
        <v>0.10610729187499518</v>
      </c>
      <c r="J68" s="33">
        <f t="shared" si="1"/>
        <v>1.2367468038604907E-2</v>
      </c>
      <c r="K68" s="33">
        <f t="shared" si="2"/>
        <v>2.4734936077209814E-2</v>
      </c>
      <c r="L68" s="27">
        <f t="shared" si="3"/>
        <v>2.4734936077209814E-2</v>
      </c>
      <c r="M68" s="27">
        <f t="shared" si="4"/>
        <v>0.34140335382066767</v>
      </c>
      <c r="N68" s="27">
        <f t="shared" si="5"/>
        <v>0.34140335382066767</v>
      </c>
    </row>
    <row r="69" spans="1:14">
      <c r="A69" s="29" t="s">
        <v>110</v>
      </c>
      <c r="B69" s="29" t="s">
        <v>46</v>
      </c>
      <c r="C69" s="30">
        <v>2.99</v>
      </c>
      <c r="D69" s="31">
        <v>0.90200000000000002</v>
      </c>
      <c r="E69" s="31">
        <v>1</v>
      </c>
      <c r="F69" s="31"/>
      <c r="G69" s="32">
        <v>4.9000000000000002E-2</v>
      </c>
      <c r="H69" s="31">
        <v>0.49769999999999998</v>
      </c>
      <c r="I69" s="31">
        <f t="shared" ref="I69:I134" si="8">PI()*((E69/2)^2-(D69/2)^2)</f>
        <v>0.14639507606463079</v>
      </c>
      <c r="J69" s="33">
        <f t="shared" ref="J69:J134" si="9">(PI()/4)*((E69/2)^4-(D69/2)^4)</f>
        <v>1.6593918470694916E-2</v>
      </c>
      <c r="K69" s="33">
        <f t="shared" ref="K69:K134" si="10">J69/(E69/2)</f>
        <v>3.3187836941389832E-2</v>
      </c>
      <c r="L69" s="27">
        <f t="shared" ref="L69:L134" si="11">2*J69</f>
        <v>3.3187836941389832E-2</v>
      </c>
      <c r="M69" s="27">
        <f t="shared" ref="M69:M134" si="12">SQRT(J69/I69)</f>
        <v>0.33667528866847357</v>
      </c>
      <c r="N69" s="27">
        <f t="shared" ref="N69:N134" si="13">M69</f>
        <v>0.33667528866847357</v>
      </c>
    </row>
    <row r="70" spans="1:14">
      <c r="A70" s="29" t="s">
        <v>111</v>
      </c>
      <c r="B70" s="29" t="s">
        <v>46</v>
      </c>
      <c r="C70" s="30">
        <v>3.18</v>
      </c>
      <c r="D70" s="31">
        <v>0.88400000000000001</v>
      </c>
      <c r="E70" s="31">
        <v>1</v>
      </c>
      <c r="F70" s="31"/>
      <c r="G70" s="32">
        <v>5.8000000000000003E-2</v>
      </c>
      <c r="H70" s="31">
        <v>0.58350000000000002</v>
      </c>
      <c r="I70" s="31">
        <f t="shared" si="8"/>
        <v>0.17164405622153189</v>
      </c>
      <c r="J70" s="33">
        <f t="shared" si="9"/>
        <v>1.9111020863761582E-2</v>
      </c>
      <c r="K70" s="33">
        <f t="shared" si="10"/>
        <v>3.8222041727523165E-2</v>
      </c>
      <c r="L70" s="27">
        <f t="shared" si="11"/>
        <v>3.8222041727523165E-2</v>
      </c>
      <c r="M70" s="27">
        <f t="shared" si="12"/>
        <v>0.33367798848590535</v>
      </c>
      <c r="N70" s="27">
        <f t="shared" si="13"/>
        <v>0.33367798848590535</v>
      </c>
    </row>
    <row r="71" spans="1:14">
      <c r="A71" s="29" t="s">
        <v>112</v>
      </c>
      <c r="B71" s="29" t="s">
        <v>46</v>
      </c>
      <c r="C71" s="30">
        <v>3.19</v>
      </c>
      <c r="D71" s="31">
        <v>0.87</v>
      </c>
      <c r="E71" s="31">
        <v>1</v>
      </c>
      <c r="F71" s="31"/>
      <c r="G71" s="32">
        <v>6.5000000000000002E-2</v>
      </c>
      <c r="H71" s="31">
        <v>0.64910000000000001</v>
      </c>
      <c r="I71" s="31">
        <f t="shared" si="8"/>
        <v>0.19093029352191968</v>
      </c>
      <c r="J71" s="33">
        <f t="shared" si="9"/>
        <v>2.0965339543041289E-2</v>
      </c>
      <c r="K71" s="33">
        <f t="shared" si="10"/>
        <v>4.1930679086082577E-2</v>
      </c>
      <c r="L71" s="27">
        <f t="shared" si="11"/>
        <v>4.1930679086082577E-2</v>
      </c>
      <c r="M71" s="27">
        <f t="shared" si="12"/>
        <v>0.33137026118829671</v>
      </c>
      <c r="N71" s="27">
        <f t="shared" si="13"/>
        <v>0.33137026118829671</v>
      </c>
    </row>
    <row r="72" spans="1:14">
      <c r="A72" s="29" t="s">
        <v>113</v>
      </c>
      <c r="B72" s="29" t="s">
        <v>46</v>
      </c>
      <c r="C72" s="30">
        <v>4.1500000000000004</v>
      </c>
      <c r="D72" s="31">
        <v>0.83399999999999996</v>
      </c>
      <c r="E72" s="31">
        <v>1</v>
      </c>
      <c r="F72" s="31"/>
      <c r="G72" s="32">
        <v>8.3000000000000004E-2</v>
      </c>
      <c r="H72" s="31">
        <v>0.81289999999999996</v>
      </c>
      <c r="I72" s="31">
        <f t="shared" si="8"/>
        <v>0.23910975845737278</v>
      </c>
      <c r="J72" s="33">
        <f t="shared" si="9"/>
        <v>2.5338999100684323E-2</v>
      </c>
      <c r="K72" s="33">
        <f t="shared" si="10"/>
        <v>5.0677998201368646E-2</v>
      </c>
      <c r="L72" s="27">
        <f t="shared" si="11"/>
        <v>5.0677998201368646E-2</v>
      </c>
      <c r="M72" s="27">
        <f t="shared" si="12"/>
        <v>0.32553379240871444</v>
      </c>
      <c r="N72" s="27">
        <f t="shared" si="13"/>
        <v>0.32553379240871444</v>
      </c>
    </row>
    <row r="73" spans="1:14">
      <c r="A73" s="29" t="s">
        <v>114</v>
      </c>
      <c r="B73" s="29" t="s">
        <v>46</v>
      </c>
      <c r="C73" s="30">
        <v>4.1399999999999997</v>
      </c>
      <c r="D73" s="31">
        <v>0.81</v>
      </c>
      <c r="E73" s="31">
        <v>1</v>
      </c>
      <c r="F73" s="31"/>
      <c r="G73" s="32">
        <v>9.5000000000000001E-2</v>
      </c>
      <c r="H73" s="31">
        <v>0.91820000000000002</v>
      </c>
      <c r="I73" s="31">
        <f t="shared" si="8"/>
        <v>0.27009842839238235</v>
      </c>
      <c r="J73" s="33">
        <f t="shared" si="9"/>
        <v>2.7956875453789026E-2</v>
      </c>
      <c r="K73" s="33">
        <f t="shared" si="10"/>
        <v>5.5913750907578053E-2</v>
      </c>
      <c r="L73" s="27">
        <f t="shared" si="11"/>
        <v>5.5913750907578053E-2</v>
      </c>
      <c r="M73" s="27">
        <f t="shared" si="12"/>
        <v>0.32172387228802279</v>
      </c>
      <c r="N73" s="27">
        <f t="shared" si="13"/>
        <v>0.32172387228802279</v>
      </c>
    </row>
    <row r="74" spans="1:14">
      <c r="A74" s="29" t="s">
        <v>115</v>
      </c>
      <c r="B74" s="29" t="s">
        <v>46</v>
      </c>
      <c r="C74" s="30">
        <v>6.12</v>
      </c>
      <c r="D74" s="31">
        <v>0.76</v>
      </c>
      <c r="E74" s="31">
        <v>1</v>
      </c>
      <c r="F74" s="31"/>
      <c r="G74" s="32">
        <v>0.12</v>
      </c>
      <c r="H74" s="31">
        <v>1.1259999999999999</v>
      </c>
      <c r="I74" s="31">
        <f t="shared" si="8"/>
        <v>0.33175218421908215</v>
      </c>
      <c r="J74" s="33">
        <f t="shared" si="9"/>
        <v>3.2710765364001498E-2</v>
      </c>
      <c r="K74" s="33">
        <f t="shared" si="10"/>
        <v>6.5421530728002997E-2</v>
      </c>
      <c r="L74" s="27">
        <f t="shared" si="11"/>
        <v>6.5421530728002997E-2</v>
      </c>
      <c r="M74" s="27">
        <f t="shared" si="12"/>
        <v>0.31400636936215165</v>
      </c>
      <c r="N74" s="27">
        <f t="shared" si="13"/>
        <v>0.31400636936215165</v>
      </c>
    </row>
    <row r="75" spans="1:14">
      <c r="A75" s="29" t="s">
        <v>116</v>
      </c>
      <c r="B75" s="29" t="s">
        <v>46</v>
      </c>
      <c r="C75" s="30">
        <v>11.2</v>
      </c>
      <c r="D75" s="31">
        <v>0.68700000000000006</v>
      </c>
      <c r="E75" s="31">
        <v>1</v>
      </c>
      <c r="F75" s="31"/>
      <c r="G75" s="32">
        <v>0.156</v>
      </c>
      <c r="H75" s="31">
        <v>1.4059999999999999</v>
      </c>
      <c r="I75" s="31">
        <f t="shared" si="8"/>
        <v>0.41471457761691793</v>
      </c>
      <c r="J75" s="33">
        <f t="shared" si="9"/>
        <v>3.8152937631262318E-2</v>
      </c>
      <c r="K75" s="33">
        <f t="shared" si="10"/>
        <v>7.6305875262524636E-2</v>
      </c>
      <c r="L75" s="27">
        <f t="shared" si="11"/>
        <v>7.6305875262524636E-2</v>
      </c>
      <c r="M75" s="27">
        <f t="shared" si="12"/>
        <v>0.30331182387107825</v>
      </c>
      <c r="N75" s="27">
        <f t="shared" si="13"/>
        <v>0.30331182387107825</v>
      </c>
    </row>
    <row r="76" spans="1:14">
      <c r="A76" s="29" t="s">
        <v>117</v>
      </c>
      <c r="B76" s="29" t="s">
        <v>46</v>
      </c>
      <c r="C76" s="30">
        <v>7.84</v>
      </c>
      <c r="D76" s="31">
        <f>5/8</f>
        <v>0.625</v>
      </c>
      <c r="E76" s="31">
        <v>1</v>
      </c>
      <c r="F76" s="31"/>
      <c r="G76" s="32">
        <v>0.188</v>
      </c>
      <c r="H76" s="31">
        <v>1.63</v>
      </c>
      <c r="I76" s="31">
        <f t="shared" si="8"/>
        <v>0.47860200582032003</v>
      </c>
      <c r="J76" s="33">
        <f t="shared" si="9"/>
        <v>4.1597244646492663E-2</v>
      </c>
      <c r="K76" s="33">
        <f t="shared" si="10"/>
        <v>8.3194489292985327E-2</v>
      </c>
      <c r="L76" s="27">
        <f t="shared" si="11"/>
        <v>8.3194489292985327E-2</v>
      </c>
      <c r="M76" s="27">
        <f t="shared" si="12"/>
        <v>0.2948119103767689</v>
      </c>
      <c r="N76" s="27">
        <f t="shared" si="13"/>
        <v>0.2948119103767689</v>
      </c>
    </row>
    <row r="77" spans="1:14">
      <c r="A77" s="29" t="s">
        <v>118</v>
      </c>
      <c r="B77" s="29" t="s">
        <v>46</v>
      </c>
      <c r="C77" s="30">
        <v>10.74</v>
      </c>
      <c r="D77" s="31">
        <f>1/2</f>
        <v>0.5</v>
      </c>
      <c r="E77" s="31">
        <v>1</v>
      </c>
      <c r="F77" s="31"/>
      <c r="G77" s="32">
        <v>0.25</v>
      </c>
      <c r="H77" s="34" t="s">
        <v>243</v>
      </c>
      <c r="I77" s="31">
        <f t="shared" si="8"/>
        <v>0.58904862254808621</v>
      </c>
      <c r="J77" s="33">
        <f t="shared" si="9"/>
        <v>4.6019423636569232E-2</v>
      </c>
      <c r="K77" s="33">
        <f t="shared" si="10"/>
        <v>9.2038847273138463E-2</v>
      </c>
      <c r="L77" s="27">
        <f t="shared" si="11"/>
        <v>9.2038847273138463E-2</v>
      </c>
      <c r="M77" s="27">
        <f t="shared" si="12"/>
        <v>0.27950849718747373</v>
      </c>
      <c r="N77" s="27">
        <f t="shared" si="13"/>
        <v>0.27950849718747373</v>
      </c>
    </row>
    <row r="78" spans="1:14">
      <c r="A78" s="29" t="s">
        <v>119</v>
      </c>
      <c r="B78" s="29" t="s">
        <v>46</v>
      </c>
      <c r="C78" s="30">
        <v>4.0199999999999996</v>
      </c>
      <c r="D78" s="31">
        <v>1.0549999999999999</v>
      </c>
      <c r="E78" s="31">
        <v>1.125</v>
      </c>
      <c r="F78" s="31"/>
      <c r="G78" s="32">
        <v>3.5000000000000003E-2</v>
      </c>
      <c r="H78" s="31">
        <v>0.40739999999999998</v>
      </c>
      <c r="I78" s="31">
        <f t="shared" si="8"/>
        <v>0.11985175973445066</v>
      </c>
      <c r="J78" s="33">
        <f t="shared" si="9"/>
        <v>1.7817836768271943E-2</v>
      </c>
      <c r="K78" s="33">
        <f t="shared" si="10"/>
        <v>3.1676154254705678E-2</v>
      </c>
      <c r="L78" s="27">
        <f t="shared" si="11"/>
        <v>3.5635673536543885E-2</v>
      </c>
      <c r="M78" s="27">
        <f t="shared" si="12"/>
        <v>0.38557181561934739</v>
      </c>
      <c r="N78" s="27">
        <f t="shared" si="13"/>
        <v>0.38557181561934739</v>
      </c>
    </row>
    <row r="79" spans="1:14">
      <c r="A79" s="29" t="s">
        <v>120</v>
      </c>
      <c r="B79" s="29" t="s">
        <v>46</v>
      </c>
      <c r="C79" s="30">
        <v>5.19</v>
      </c>
      <c r="D79" s="31">
        <v>1.0269999999999999</v>
      </c>
      <c r="E79" s="31">
        <v>1.125</v>
      </c>
      <c r="F79" s="31"/>
      <c r="G79" s="32">
        <v>4.9000000000000002E-2</v>
      </c>
      <c r="H79" s="31">
        <v>0.56310000000000004</v>
      </c>
      <c r="I79" s="31">
        <f t="shared" si="8"/>
        <v>0.1656373310678684</v>
      </c>
      <c r="J79" s="33">
        <f t="shared" si="9"/>
        <v>2.4021077730790794E-2</v>
      </c>
      <c r="K79" s="33">
        <f t="shared" si="10"/>
        <v>4.2704138188072525E-2</v>
      </c>
      <c r="L79" s="27">
        <f t="shared" si="11"/>
        <v>4.8042155461581589E-2</v>
      </c>
      <c r="M79" s="27">
        <f t="shared" si="12"/>
        <v>0.38081770573333379</v>
      </c>
      <c r="N79" s="27">
        <f t="shared" si="13"/>
        <v>0.38081770573333379</v>
      </c>
    </row>
    <row r="80" spans="1:14">
      <c r="A80" s="29" t="s">
        <v>121</v>
      </c>
      <c r="B80" s="29" t="s">
        <v>46</v>
      </c>
      <c r="C80" s="30">
        <v>3.59</v>
      </c>
      <c r="D80" s="31">
        <v>1.0089999999999999</v>
      </c>
      <c r="E80" s="31">
        <v>1.125</v>
      </c>
      <c r="F80" s="31"/>
      <c r="G80" s="32">
        <v>5.8000000000000003E-2</v>
      </c>
      <c r="H80" s="31">
        <v>0.66090000000000004</v>
      </c>
      <c r="I80" s="31">
        <f t="shared" si="8"/>
        <v>0.19442060296005809</v>
      </c>
      <c r="J80" s="33">
        <f t="shared" si="9"/>
        <v>2.7749968593968895E-2</v>
      </c>
      <c r="K80" s="33">
        <f t="shared" si="10"/>
        <v>4.9333277500389149E-2</v>
      </c>
      <c r="L80" s="27">
        <f t="shared" si="11"/>
        <v>5.549993718793779E-2</v>
      </c>
      <c r="M80" s="27">
        <f t="shared" si="12"/>
        <v>0.37779839200293053</v>
      </c>
      <c r="N80" s="27">
        <f t="shared" si="13"/>
        <v>0.37779839200293053</v>
      </c>
    </row>
    <row r="81" spans="1:14">
      <c r="A81" s="29" t="s">
        <v>122</v>
      </c>
      <c r="B81" s="29" t="s">
        <v>46</v>
      </c>
      <c r="C81" s="30">
        <v>3.52</v>
      </c>
      <c r="D81" s="31">
        <v>0.995</v>
      </c>
      <c r="E81" s="31">
        <v>1.125</v>
      </c>
      <c r="F81" s="31"/>
      <c r="G81" s="32">
        <v>6.5000000000000002E-2</v>
      </c>
      <c r="H81" s="31">
        <v>0.7359</v>
      </c>
      <c r="I81" s="31">
        <f t="shared" si="8"/>
        <v>0.21645573383233671</v>
      </c>
      <c r="J81" s="33">
        <f t="shared" si="9"/>
        <v>3.0515523501181897E-2</v>
      </c>
      <c r="K81" s="33">
        <f t="shared" si="10"/>
        <v>5.4249819557656703E-2</v>
      </c>
      <c r="L81" s="27">
        <f t="shared" si="11"/>
        <v>6.1031047002363795E-2</v>
      </c>
      <c r="M81" s="27">
        <f t="shared" si="12"/>
        <v>0.37547053812516368</v>
      </c>
      <c r="N81" s="27">
        <f t="shared" si="13"/>
        <v>0.37547053812516368</v>
      </c>
    </row>
    <row r="82" spans="1:14">
      <c r="A82" s="29" t="s">
        <v>123</v>
      </c>
      <c r="B82" s="29" t="s">
        <v>46</v>
      </c>
      <c r="C82" s="30">
        <v>3.35</v>
      </c>
      <c r="D82" s="31">
        <v>0.93500000000000005</v>
      </c>
      <c r="E82" s="31">
        <v>1.125</v>
      </c>
      <c r="F82" s="31"/>
      <c r="G82" s="32">
        <v>9.5000000000000001E-2</v>
      </c>
      <c r="H82" s="31">
        <v>1.0449999999999999</v>
      </c>
      <c r="I82" s="31">
        <f t="shared" si="8"/>
        <v>0.30740484115376115</v>
      </c>
      <c r="J82" s="33">
        <f t="shared" si="9"/>
        <v>4.111251558392974E-2</v>
      </c>
      <c r="K82" s="33">
        <f t="shared" si="10"/>
        <v>7.3088916593652867E-2</v>
      </c>
      <c r="L82" s="27">
        <f t="shared" si="11"/>
        <v>8.222503116785948E-2</v>
      </c>
      <c r="M82" s="27">
        <f t="shared" si="12"/>
        <v>0.36570565349745415</v>
      </c>
      <c r="N82" s="27">
        <f t="shared" si="13"/>
        <v>0.36570565349745415</v>
      </c>
    </row>
    <row r="83" spans="1:14">
      <c r="A83" s="29" t="s">
        <v>124</v>
      </c>
      <c r="B83" s="29" t="s">
        <v>46</v>
      </c>
      <c r="C83" s="30">
        <v>7.05</v>
      </c>
      <c r="D83" s="31">
        <v>0.88500000000000001</v>
      </c>
      <c r="E83" s="31">
        <v>1.125</v>
      </c>
      <c r="F83" s="31"/>
      <c r="G83" s="32">
        <v>0.12</v>
      </c>
      <c r="H83" s="31">
        <v>1.288</v>
      </c>
      <c r="I83" s="31">
        <f t="shared" si="8"/>
        <v>0.378876074022929</v>
      </c>
      <c r="J83" s="33">
        <f t="shared" si="9"/>
        <v>4.8516265266367382E-2</v>
      </c>
      <c r="K83" s="33">
        <f t="shared" si="10"/>
        <v>8.6251138251319789E-2</v>
      </c>
      <c r="L83" s="27">
        <f t="shared" si="11"/>
        <v>9.7032530532734765E-2</v>
      </c>
      <c r="M83" s="27">
        <f t="shared" si="12"/>
        <v>0.35784511314254386</v>
      </c>
      <c r="N83" s="27">
        <f t="shared" si="13"/>
        <v>0.35784511314254386</v>
      </c>
    </row>
    <row r="84" spans="1:14">
      <c r="A84" s="29" t="s">
        <v>125</v>
      </c>
      <c r="B84" s="29" t="s">
        <v>46</v>
      </c>
      <c r="C84" s="30">
        <v>18.47</v>
      </c>
      <c r="D84" s="31">
        <f>5/8</f>
        <v>0.625</v>
      </c>
      <c r="E84" s="31">
        <v>1.125</v>
      </c>
      <c r="F84" s="31"/>
      <c r="G84" s="32">
        <v>0.25</v>
      </c>
      <c r="H84" s="31">
        <v>2.3879999999999999</v>
      </c>
      <c r="I84" s="31">
        <f t="shared" si="8"/>
        <v>0.68722339297276724</v>
      </c>
      <c r="J84" s="33">
        <f t="shared" si="9"/>
        <v>7.1138359038196611E-2</v>
      </c>
      <c r="K84" s="33">
        <f t="shared" si="10"/>
        <v>0.12646819384568286</v>
      </c>
      <c r="L84" s="27">
        <f t="shared" si="11"/>
        <v>0.14227671807639322</v>
      </c>
      <c r="M84" s="27">
        <f t="shared" si="12"/>
        <v>0.32173844190584378</v>
      </c>
      <c r="N84" s="27">
        <f t="shared" si="13"/>
        <v>0.32173844190584378</v>
      </c>
    </row>
    <row r="85" spans="1:14">
      <c r="A85" s="29" t="s">
        <v>246</v>
      </c>
      <c r="B85" s="29" t="s">
        <v>46</v>
      </c>
      <c r="C85" s="30">
        <v>6.24</v>
      </c>
      <c r="D85" s="31">
        <v>0.99750000000000005</v>
      </c>
      <c r="E85" s="31">
        <v>1.1875</v>
      </c>
      <c r="F85" s="31"/>
      <c r="G85" s="32">
        <v>9.5000000000000001E-2</v>
      </c>
      <c r="H85" s="34" t="s">
        <v>243</v>
      </c>
      <c r="I85" s="31">
        <f t="shared" si="8"/>
        <v>0.32605804753445056</v>
      </c>
      <c r="J85" s="33">
        <f t="shared" si="9"/>
        <v>4.9013911797067378E-2</v>
      </c>
      <c r="K85" s="33">
        <f t="shared" si="10"/>
        <v>8.2549746184534534E-2</v>
      </c>
      <c r="L85" s="27">
        <f t="shared" si="11"/>
        <v>9.8027823594134755E-2</v>
      </c>
      <c r="M85" s="27">
        <f t="shared" si="12"/>
        <v>0.38771465828621959</v>
      </c>
      <c r="N85" s="27">
        <f t="shared" si="13"/>
        <v>0.38771465828621959</v>
      </c>
    </row>
    <row r="86" spans="1:14">
      <c r="A86" s="29" t="s">
        <v>126</v>
      </c>
      <c r="B86" s="29" t="s">
        <v>46</v>
      </c>
      <c r="C86" s="30">
        <v>3.68</v>
      </c>
      <c r="D86" s="31">
        <v>1.18</v>
      </c>
      <c r="E86" s="31">
        <v>1.25</v>
      </c>
      <c r="F86" s="31"/>
      <c r="G86" s="32">
        <v>3.5000000000000003E-2</v>
      </c>
      <c r="H86" s="31">
        <v>0.45419999999999999</v>
      </c>
      <c r="I86" s="31">
        <f t="shared" si="8"/>
        <v>0.13359622759390608</v>
      </c>
      <c r="J86" s="33">
        <f t="shared" si="9"/>
        <v>2.4672718307327066E-2</v>
      </c>
      <c r="K86" s="33">
        <f t="shared" si="10"/>
        <v>3.9476349291723306E-2</v>
      </c>
      <c r="L86" s="27">
        <f t="shared" si="11"/>
        <v>4.9345436614654133E-2</v>
      </c>
      <c r="M86" s="27">
        <f t="shared" si="12"/>
        <v>0.42974556425866689</v>
      </c>
      <c r="N86" s="27">
        <f t="shared" si="13"/>
        <v>0.42974556425866689</v>
      </c>
    </row>
    <row r="87" spans="1:14">
      <c r="A87" s="29" t="s">
        <v>127</v>
      </c>
      <c r="B87" s="29" t="s">
        <v>46</v>
      </c>
      <c r="C87" s="30">
        <v>5.5</v>
      </c>
      <c r="D87" s="31">
        <v>1.1519999999999999</v>
      </c>
      <c r="E87" s="31">
        <v>1.25</v>
      </c>
      <c r="F87" s="31"/>
      <c r="G87" s="32">
        <v>4.9000000000000002E-2</v>
      </c>
      <c r="H87" s="31">
        <v>0.62849999999999995</v>
      </c>
      <c r="I87" s="31">
        <f t="shared" si="8"/>
        <v>0.18487958607110586</v>
      </c>
      <c r="J87" s="33">
        <f t="shared" si="9"/>
        <v>3.3389299464338239E-2</v>
      </c>
      <c r="K87" s="33">
        <f t="shared" si="10"/>
        <v>5.3422879142941179E-2</v>
      </c>
      <c r="L87" s="27">
        <f t="shared" si="11"/>
        <v>6.6778598928676478E-2</v>
      </c>
      <c r="M87" s="27">
        <f t="shared" si="12"/>
        <v>0.42497088135541711</v>
      </c>
      <c r="N87" s="27">
        <f t="shared" si="13"/>
        <v>0.42497088135541711</v>
      </c>
    </row>
    <row r="88" spans="1:14">
      <c r="A88" s="29" t="s">
        <v>128</v>
      </c>
      <c r="B88" s="29" t="s">
        <v>46</v>
      </c>
      <c r="C88" s="30">
        <v>3.74</v>
      </c>
      <c r="D88" s="31">
        <v>1.1339999999999999</v>
      </c>
      <c r="E88" s="31">
        <v>1.25</v>
      </c>
      <c r="F88" s="31"/>
      <c r="G88" s="32">
        <v>5.8000000000000003E-2</v>
      </c>
      <c r="H88" s="31">
        <v>0.73839999999999995</v>
      </c>
      <c r="I88" s="31">
        <f t="shared" si="8"/>
        <v>0.21719714969858403</v>
      </c>
      <c r="J88" s="33">
        <f t="shared" si="9"/>
        <v>3.8667282765114365E-2</v>
      </c>
      <c r="K88" s="33">
        <f t="shared" si="10"/>
        <v>6.1867652424182983E-2</v>
      </c>
      <c r="L88" s="27">
        <f t="shared" si="11"/>
        <v>7.733456553022873E-2</v>
      </c>
      <c r="M88" s="27">
        <f t="shared" si="12"/>
        <v>0.42193423658195833</v>
      </c>
      <c r="N88" s="27">
        <f t="shared" si="13"/>
        <v>0.42193423658195833</v>
      </c>
    </row>
    <row r="89" spans="1:14">
      <c r="A89" s="29" t="s">
        <v>129</v>
      </c>
      <c r="B89" s="29" t="s">
        <v>46</v>
      </c>
      <c r="C89" s="30">
        <v>3.89</v>
      </c>
      <c r="D89" s="31">
        <v>1.1200000000000001</v>
      </c>
      <c r="E89" s="31">
        <v>1.25</v>
      </c>
      <c r="F89" s="31"/>
      <c r="G89" s="32">
        <v>6.5000000000000002E-2</v>
      </c>
      <c r="H89" s="31">
        <v>0.8226</v>
      </c>
      <c r="I89" s="31">
        <f t="shared" si="8"/>
        <v>0.24198117414275366</v>
      </c>
      <c r="J89" s="33">
        <f t="shared" si="9"/>
        <v>4.2602298090170181E-2</v>
      </c>
      <c r="K89" s="33">
        <f t="shared" si="10"/>
        <v>6.8163676944272292E-2</v>
      </c>
      <c r="L89" s="27">
        <f t="shared" si="11"/>
        <v>8.5204596180340361E-2</v>
      </c>
      <c r="M89" s="27">
        <f t="shared" si="12"/>
        <v>0.41959057425066165</v>
      </c>
      <c r="N89" s="27">
        <f t="shared" si="13"/>
        <v>0.41959057425066165</v>
      </c>
    </row>
    <row r="90" spans="1:14">
      <c r="A90" s="29" t="s">
        <v>130</v>
      </c>
      <c r="B90" s="29" t="s">
        <v>46</v>
      </c>
      <c r="C90" s="30">
        <v>5.25</v>
      </c>
      <c r="D90" s="31">
        <v>1.0840000000000001</v>
      </c>
      <c r="E90" s="31">
        <v>1.25</v>
      </c>
      <c r="F90" s="31"/>
      <c r="G90" s="32">
        <v>8.3000000000000004E-2</v>
      </c>
      <c r="H90" s="31">
        <v>1.034</v>
      </c>
      <c r="I90" s="31">
        <f t="shared" si="8"/>
        <v>0.30429780601936085</v>
      </c>
      <c r="J90" s="33">
        <f t="shared" si="9"/>
        <v>5.2064517790946098E-2</v>
      </c>
      <c r="K90" s="33">
        <f t="shared" si="10"/>
        <v>8.3303228465513759E-2</v>
      </c>
      <c r="L90" s="27">
        <f t="shared" si="11"/>
        <v>0.1041290355818922</v>
      </c>
      <c r="M90" s="27">
        <f t="shared" si="12"/>
        <v>0.4136390334579173</v>
      </c>
      <c r="N90" s="27">
        <f t="shared" si="13"/>
        <v>0.4136390334579173</v>
      </c>
    </row>
    <row r="91" spans="1:14">
      <c r="A91" s="29" t="s">
        <v>131</v>
      </c>
      <c r="B91" s="29" t="s">
        <v>46</v>
      </c>
      <c r="C91" s="30">
        <v>4.9000000000000004</v>
      </c>
      <c r="D91" s="31">
        <v>1.06</v>
      </c>
      <c r="E91" s="31">
        <v>1.25</v>
      </c>
      <c r="F91" s="31"/>
      <c r="G91" s="32">
        <v>9.5000000000000001E-2</v>
      </c>
      <c r="H91" s="31">
        <v>1.1719999999999999</v>
      </c>
      <c r="I91" s="31">
        <f t="shared" si="8"/>
        <v>0.3447112539151399</v>
      </c>
      <c r="J91" s="33">
        <f t="shared" si="9"/>
        <v>5.7870556196341093E-2</v>
      </c>
      <c r="K91" s="33">
        <f t="shared" si="10"/>
        <v>9.2592889914145743E-2</v>
      </c>
      <c r="L91" s="27">
        <f t="shared" si="11"/>
        <v>0.11574111239268219</v>
      </c>
      <c r="M91" s="27">
        <f t="shared" si="12"/>
        <v>0.40973314486382478</v>
      </c>
      <c r="N91" s="27">
        <f t="shared" si="13"/>
        <v>0.40973314486382478</v>
      </c>
    </row>
    <row r="92" spans="1:14">
      <c r="A92" s="29" t="s">
        <v>132</v>
      </c>
      <c r="B92" s="29" t="s">
        <v>46</v>
      </c>
      <c r="C92" s="30">
        <v>6.02</v>
      </c>
      <c r="D92" s="31">
        <v>1.01</v>
      </c>
      <c r="E92" s="31">
        <v>1.25</v>
      </c>
      <c r="F92" s="31"/>
      <c r="G92" s="32">
        <v>0.12</v>
      </c>
      <c r="H92" s="31">
        <v>1.448</v>
      </c>
      <c r="I92" s="31">
        <f t="shared" si="8"/>
        <v>0.42599996382677596</v>
      </c>
      <c r="J92" s="33">
        <f t="shared" si="9"/>
        <v>6.8761719161189477E-2</v>
      </c>
      <c r="K92" s="33">
        <f t="shared" si="10"/>
        <v>0.11001875065790316</v>
      </c>
      <c r="L92" s="27">
        <f t="shared" si="11"/>
        <v>0.13752343832237895</v>
      </c>
      <c r="M92" s="27">
        <f t="shared" si="12"/>
        <v>0.40176174531679842</v>
      </c>
      <c r="N92" s="27">
        <f t="shared" si="13"/>
        <v>0.40176174531679842</v>
      </c>
    </row>
    <row r="93" spans="1:14">
      <c r="A93" s="29" t="s">
        <v>133</v>
      </c>
      <c r="B93" s="29" t="s">
        <v>46</v>
      </c>
      <c r="C93" s="30">
        <v>11.69</v>
      </c>
      <c r="D93" s="31">
        <v>0.93799999999999994</v>
      </c>
      <c r="E93" s="31">
        <v>1.25</v>
      </c>
      <c r="F93" s="31"/>
      <c r="G93" s="32">
        <v>0.156</v>
      </c>
      <c r="H93" s="31">
        <v>1.823</v>
      </c>
      <c r="I93" s="31">
        <f t="shared" si="8"/>
        <v>0.53615676863224859</v>
      </c>
      <c r="J93" s="33">
        <f t="shared" si="9"/>
        <v>8.1842454183022537E-2</v>
      </c>
      <c r="K93" s="33">
        <f t="shared" si="10"/>
        <v>0.13094792669283606</v>
      </c>
      <c r="L93" s="27">
        <f t="shared" si="11"/>
        <v>0.16368490836604507</v>
      </c>
      <c r="M93" s="27">
        <f t="shared" si="12"/>
        <v>0.39070001279754263</v>
      </c>
      <c r="N93" s="27">
        <f t="shared" si="13"/>
        <v>0.39070001279754263</v>
      </c>
    </row>
    <row r="94" spans="1:14">
      <c r="A94" s="29" t="s">
        <v>134</v>
      </c>
      <c r="B94" s="29" t="s">
        <v>46</v>
      </c>
      <c r="C94" s="30">
        <v>13.37</v>
      </c>
      <c r="D94" s="31">
        <v>0.75</v>
      </c>
      <c r="E94" s="31">
        <v>1.25</v>
      </c>
      <c r="F94" s="31"/>
      <c r="G94" s="32">
        <v>0.25</v>
      </c>
      <c r="H94" s="31">
        <v>2.67</v>
      </c>
      <c r="I94" s="31">
        <f t="shared" si="8"/>
        <v>0.78539816339744828</v>
      </c>
      <c r="J94" s="33">
        <f t="shared" si="9"/>
        <v>0.10431069357622361</v>
      </c>
      <c r="K94" s="33">
        <f t="shared" si="10"/>
        <v>0.16689710972195776</v>
      </c>
      <c r="L94" s="27">
        <f t="shared" si="11"/>
        <v>0.20862138715244721</v>
      </c>
      <c r="M94" s="27">
        <f t="shared" si="12"/>
        <v>0.3644344934278313</v>
      </c>
      <c r="N94" s="27">
        <f t="shared" si="13"/>
        <v>0.3644344934278313</v>
      </c>
    </row>
    <row r="95" spans="1:14">
      <c r="A95" s="29" t="s">
        <v>135</v>
      </c>
      <c r="B95" s="29" t="s">
        <v>46</v>
      </c>
      <c r="C95" s="30">
        <v>9.1999999999999993</v>
      </c>
      <c r="D95" s="31">
        <v>1.3049999999999999</v>
      </c>
      <c r="E95" s="31">
        <f t="shared" ref="E95:E100" si="14">1+3/8</f>
        <v>1.375</v>
      </c>
      <c r="F95" s="31"/>
      <c r="G95" s="32">
        <v>3.5000000000000003E-2</v>
      </c>
      <c r="H95" s="31">
        <v>0.50090000000000001</v>
      </c>
      <c r="I95" s="31">
        <f t="shared" si="8"/>
        <v>0.14734069545336145</v>
      </c>
      <c r="J95" s="33">
        <f t="shared" si="9"/>
        <v>3.3093180638498275E-2</v>
      </c>
      <c r="K95" s="33">
        <f t="shared" si="10"/>
        <v>4.8135535474179307E-2</v>
      </c>
      <c r="L95" s="27">
        <f t="shared" si="11"/>
        <v>6.618636127699655E-2</v>
      </c>
      <c r="M95" s="27">
        <f t="shared" si="12"/>
        <v>0.47392312140261739</v>
      </c>
      <c r="N95" s="27">
        <f t="shared" si="13"/>
        <v>0.47392312140261739</v>
      </c>
    </row>
    <row r="96" spans="1:14">
      <c r="A96" s="29" t="s">
        <v>136</v>
      </c>
      <c r="B96" s="29" t="s">
        <v>46</v>
      </c>
      <c r="C96" s="30">
        <v>6.98</v>
      </c>
      <c r="D96" s="31">
        <v>1.2769999999999999</v>
      </c>
      <c r="E96" s="31">
        <f t="shared" si="14"/>
        <v>1.375</v>
      </c>
      <c r="F96" s="31"/>
      <c r="G96" s="32">
        <v>4.9000000000000002E-2</v>
      </c>
      <c r="H96" s="31">
        <v>0.69389999999999996</v>
      </c>
      <c r="I96" s="31">
        <f t="shared" si="8"/>
        <v>0.20412184107434331</v>
      </c>
      <c r="J96" s="33">
        <f t="shared" si="9"/>
        <v>4.4924078847156441E-2</v>
      </c>
      <c r="K96" s="33">
        <f t="shared" si="10"/>
        <v>6.5344114686773008E-2</v>
      </c>
      <c r="L96" s="27">
        <f t="shared" si="11"/>
        <v>8.9848157694312883E-2</v>
      </c>
      <c r="M96" s="27">
        <f t="shared" si="12"/>
        <v>0.46913177786204163</v>
      </c>
      <c r="N96" s="27">
        <f t="shared" si="13"/>
        <v>0.46913177786204163</v>
      </c>
    </row>
    <row r="97" spans="1:14">
      <c r="A97" s="29" t="s">
        <v>137</v>
      </c>
      <c r="B97" s="29" t="s">
        <v>46</v>
      </c>
      <c r="C97" s="30">
        <v>4.05</v>
      </c>
      <c r="D97" s="31">
        <v>1.2589999999999999</v>
      </c>
      <c r="E97" s="31">
        <f t="shared" si="14"/>
        <v>1.375</v>
      </c>
      <c r="F97" s="31"/>
      <c r="G97" s="32">
        <v>5.8000000000000003E-2</v>
      </c>
      <c r="H97" s="31">
        <v>0.81579999999999997</v>
      </c>
      <c r="I97" s="31">
        <f t="shared" si="8"/>
        <v>0.23997369643711014</v>
      </c>
      <c r="J97" s="33">
        <f t="shared" si="9"/>
        <v>5.2129876034290139E-2</v>
      </c>
      <c r="K97" s="33">
        <f t="shared" si="10"/>
        <v>7.5825274231694745E-2</v>
      </c>
      <c r="L97" s="27">
        <f t="shared" si="11"/>
        <v>0.10425975206858028</v>
      </c>
      <c r="M97" s="27">
        <f t="shared" si="12"/>
        <v>0.4660811356405663</v>
      </c>
      <c r="N97" s="27">
        <f t="shared" si="13"/>
        <v>0.4660811356405663</v>
      </c>
    </row>
    <row r="98" spans="1:14">
      <c r="A98" s="29" t="s">
        <v>138</v>
      </c>
      <c r="B98" s="29" t="s">
        <v>46</v>
      </c>
      <c r="C98" s="30">
        <v>4.4800000000000004</v>
      </c>
      <c r="D98" s="31">
        <v>1.2450000000000001</v>
      </c>
      <c r="E98" s="31">
        <f t="shared" si="14"/>
        <v>1.375</v>
      </c>
      <c r="F98" s="31"/>
      <c r="G98" s="32">
        <v>6.5000000000000002E-2</v>
      </c>
      <c r="H98" s="31">
        <v>0.90939999999999999</v>
      </c>
      <c r="I98" s="31">
        <f t="shared" si="8"/>
        <v>0.2675066144531707</v>
      </c>
      <c r="J98" s="33">
        <f t="shared" si="9"/>
        <v>5.7524789563643874E-2</v>
      </c>
      <c r="K98" s="33">
        <f t="shared" si="10"/>
        <v>8.3672421183482004E-2</v>
      </c>
      <c r="L98" s="27">
        <f t="shared" si="11"/>
        <v>0.11504957912728775</v>
      </c>
      <c r="M98" s="27">
        <f t="shared" si="12"/>
        <v>0.46372472976972023</v>
      </c>
      <c r="N98" s="27">
        <f t="shared" si="13"/>
        <v>0.46372472976972023</v>
      </c>
    </row>
    <row r="99" spans="1:14">
      <c r="A99" s="29" t="s">
        <v>139</v>
      </c>
      <c r="B99" s="29" t="s">
        <v>46</v>
      </c>
      <c r="C99" s="30">
        <v>5.59</v>
      </c>
      <c r="D99" s="31">
        <v>1.1850000000000001</v>
      </c>
      <c r="E99" s="31">
        <f t="shared" si="14"/>
        <v>1.375</v>
      </c>
      <c r="F99" s="31"/>
      <c r="G99" s="32">
        <v>9.5000000000000001E-2</v>
      </c>
      <c r="H99" s="31">
        <v>1.2989999999999999</v>
      </c>
      <c r="I99" s="31">
        <f t="shared" si="8"/>
        <v>0.38201766667651882</v>
      </c>
      <c r="J99" s="33">
        <f t="shared" si="9"/>
        <v>7.8668181815570504E-2</v>
      </c>
      <c r="K99" s="33">
        <f t="shared" si="10"/>
        <v>0.11442644627719346</v>
      </c>
      <c r="L99" s="27">
        <f t="shared" si="11"/>
        <v>0.15733636363114101</v>
      </c>
      <c r="M99" s="27">
        <f t="shared" si="12"/>
        <v>0.45379304203568394</v>
      </c>
      <c r="N99" s="27">
        <f t="shared" si="13"/>
        <v>0.45379304203568394</v>
      </c>
    </row>
    <row r="100" spans="1:14">
      <c r="A100" s="29" t="s">
        <v>140</v>
      </c>
      <c r="B100" s="29" t="s">
        <v>46</v>
      </c>
      <c r="C100" s="30">
        <v>7.1</v>
      </c>
      <c r="D100" s="31">
        <v>1.135</v>
      </c>
      <c r="E100" s="31">
        <f t="shared" si="14"/>
        <v>1.375</v>
      </c>
      <c r="F100" s="31"/>
      <c r="G100" s="32">
        <v>0.12</v>
      </c>
      <c r="H100" s="31">
        <v>1.6080000000000001</v>
      </c>
      <c r="I100" s="31">
        <f t="shared" si="8"/>
        <v>0.47312385363062287</v>
      </c>
      <c r="J100" s="33">
        <f t="shared" si="9"/>
        <v>9.3999360132106594E-2</v>
      </c>
      <c r="K100" s="33">
        <f t="shared" si="10"/>
        <v>0.13672634201033687</v>
      </c>
      <c r="L100" s="27">
        <f t="shared" si="11"/>
        <v>0.18799872026421319</v>
      </c>
      <c r="M100" s="27">
        <f t="shared" si="12"/>
        <v>0.44573324421676247</v>
      </c>
      <c r="N100" s="27">
        <f t="shared" si="13"/>
        <v>0.44573324421676247</v>
      </c>
    </row>
    <row r="101" spans="1:14">
      <c r="A101" s="29" t="s">
        <v>141</v>
      </c>
      <c r="B101" s="29" t="s">
        <v>46</v>
      </c>
      <c r="C101" s="30">
        <v>7.92</v>
      </c>
      <c r="D101" s="31">
        <v>1.43</v>
      </c>
      <c r="E101" s="31">
        <f>1.5</f>
        <v>1.5</v>
      </c>
      <c r="F101" s="31"/>
      <c r="G101" s="32">
        <v>3.5000000000000003E-2</v>
      </c>
      <c r="H101" s="31">
        <v>0.54759999999999998</v>
      </c>
      <c r="I101" s="31">
        <f t="shared" si="8"/>
        <v>0.16108516331281686</v>
      </c>
      <c r="J101" s="33">
        <f t="shared" si="9"/>
        <v>4.3240291744513562E-2</v>
      </c>
      <c r="K101" s="33">
        <f t="shared" si="10"/>
        <v>5.7653722326018085E-2</v>
      </c>
      <c r="L101" s="27">
        <f t="shared" si="11"/>
        <v>8.6480583489027124E-2</v>
      </c>
      <c r="M101" s="27">
        <f t="shared" si="12"/>
        <v>0.51810351282345113</v>
      </c>
      <c r="N101" s="27">
        <f t="shared" si="13"/>
        <v>0.51810351282345113</v>
      </c>
    </row>
    <row r="102" spans="1:14">
      <c r="A102" s="29" t="s">
        <v>142</v>
      </c>
      <c r="B102" s="29" t="s">
        <v>46</v>
      </c>
      <c r="C102" s="30">
        <v>5.85</v>
      </c>
      <c r="D102" s="31">
        <v>1.4019999999999999</v>
      </c>
      <c r="E102" s="31">
        <f t="shared" ref="E102:E108" si="15">1.5</f>
        <v>1.5</v>
      </c>
      <c r="F102" s="31"/>
      <c r="G102" s="32">
        <v>4.9000000000000002E-2</v>
      </c>
      <c r="H102" s="31">
        <v>0.75929999999999997</v>
      </c>
      <c r="I102" s="31">
        <f t="shared" si="8"/>
        <v>0.22336409607758095</v>
      </c>
      <c r="J102" s="33">
        <f t="shared" si="9"/>
        <v>5.8850911055064646E-2</v>
      </c>
      <c r="K102" s="33">
        <f t="shared" si="10"/>
        <v>7.8467881406752857E-2</v>
      </c>
      <c r="L102" s="27">
        <f t="shared" si="11"/>
        <v>0.11770182211012929</v>
      </c>
      <c r="M102" s="27">
        <f t="shared" si="12"/>
        <v>0.51329840249118242</v>
      </c>
      <c r="N102" s="27">
        <f t="shared" si="13"/>
        <v>0.51329840249118242</v>
      </c>
    </row>
    <row r="103" spans="1:14">
      <c r="A103" s="29" t="s">
        <v>143</v>
      </c>
      <c r="B103" s="29" t="s">
        <v>46</v>
      </c>
      <c r="C103" s="30">
        <v>4.3499999999999996</v>
      </c>
      <c r="D103" s="31">
        <v>1.3839999999999999</v>
      </c>
      <c r="E103" s="31">
        <f t="shared" si="15"/>
        <v>1.5</v>
      </c>
      <c r="F103" s="31"/>
      <c r="G103" s="32">
        <v>5.8000000000000003E-2</v>
      </c>
      <c r="H103" s="31">
        <v>0.89319999999999999</v>
      </c>
      <c r="I103" s="31">
        <f t="shared" si="8"/>
        <v>0.26275024317563606</v>
      </c>
      <c r="J103" s="33">
        <f t="shared" si="9"/>
        <v>6.8404661058588279E-2</v>
      </c>
      <c r="K103" s="33">
        <f t="shared" si="10"/>
        <v>9.1206214744784367E-2</v>
      </c>
      <c r="L103" s="27">
        <f t="shared" si="11"/>
        <v>0.13680932211717656</v>
      </c>
      <c r="M103" s="27">
        <f t="shared" si="12"/>
        <v>0.5102362198041217</v>
      </c>
      <c r="N103" s="27">
        <f t="shared" si="13"/>
        <v>0.5102362198041217</v>
      </c>
    </row>
    <row r="104" spans="1:14">
      <c r="A104" s="29" t="s">
        <v>144</v>
      </c>
      <c r="B104" s="29" t="s">
        <v>46</v>
      </c>
      <c r="C104" s="30">
        <v>4.79</v>
      </c>
      <c r="D104" s="31">
        <v>1.37</v>
      </c>
      <c r="E104" s="31">
        <f t="shared" si="15"/>
        <v>1.5</v>
      </c>
      <c r="F104" s="31"/>
      <c r="G104" s="32">
        <v>6.5000000000000002E-2</v>
      </c>
      <c r="H104" s="31">
        <v>0.99619999999999997</v>
      </c>
      <c r="I104" s="31">
        <f t="shared" si="8"/>
        <v>0.29303205476358779</v>
      </c>
      <c r="J104" s="33">
        <f t="shared" si="9"/>
        <v>7.5582124175240642E-2</v>
      </c>
      <c r="K104" s="33">
        <f t="shared" si="10"/>
        <v>0.10077616556698753</v>
      </c>
      <c r="L104" s="27">
        <f t="shared" si="11"/>
        <v>0.15116424835048128</v>
      </c>
      <c r="M104" s="27">
        <f t="shared" si="12"/>
        <v>0.50786932374381499</v>
      </c>
      <c r="N104" s="27">
        <f t="shared" si="13"/>
        <v>0.50786932374381499</v>
      </c>
    </row>
    <row r="105" spans="1:14">
      <c r="A105" s="29" t="s">
        <v>145</v>
      </c>
      <c r="B105" s="29" t="s">
        <v>46</v>
      </c>
      <c r="C105" s="30">
        <v>4.59</v>
      </c>
      <c r="D105" s="31">
        <v>1.3340000000000001</v>
      </c>
      <c r="E105" s="31">
        <f t="shared" si="15"/>
        <v>1.5</v>
      </c>
      <c r="F105" s="31"/>
      <c r="G105" s="32">
        <v>8.3000000000000004E-2</v>
      </c>
      <c r="H105" s="31">
        <v>1.256</v>
      </c>
      <c r="I105" s="31">
        <f t="shared" si="8"/>
        <v>0.36948585358134906</v>
      </c>
      <c r="J105" s="33">
        <f t="shared" si="9"/>
        <v>9.305399613836543E-2</v>
      </c>
      <c r="K105" s="33">
        <f t="shared" si="10"/>
        <v>0.1240719948511539</v>
      </c>
      <c r="L105" s="27">
        <f t="shared" si="11"/>
        <v>0.18610799227673086</v>
      </c>
      <c r="M105" s="27">
        <f t="shared" si="12"/>
        <v>0.50184385021637967</v>
      </c>
      <c r="N105" s="27">
        <f t="shared" si="13"/>
        <v>0.50184385021637967</v>
      </c>
    </row>
    <row r="106" spans="1:14">
      <c r="A106" s="29" t="s">
        <v>146</v>
      </c>
      <c r="B106" s="29" t="s">
        <v>46</v>
      </c>
      <c r="C106" s="30">
        <v>5.33</v>
      </c>
      <c r="D106" s="31">
        <v>1.31</v>
      </c>
      <c r="E106" s="31">
        <f t="shared" si="15"/>
        <v>1.5</v>
      </c>
      <c r="F106" s="31"/>
      <c r="G106" s="32">
        <v>9.5000000000000001E-2</v>
      </c>
      <c r="H106" s="31">
        <v>1.4259999999999999</v>
      </c>
      <c r="I106" s="31">
        <f t="shared" si="8"/>
        <v>0.41932407943789751</v>
      </c>
      <c r="J106" s="33">
        <f t="shared" si="9"/>
        <v>0.10394257696616534</v>
      </c>
      <c r="K106" s="33">
        <f t="shared" si="10"/>
        <v>0.13859010262155377</v>
      </c>
      <c r="L106" s="27">
        <f t="shared" si="11"/>
        <v>0.20788515393233067</v>
      </c>
      <c r="M106" s="27">
        <f t="shared" si="12"/>
        <v>0.49787674177450786</v>
      </c>
      <c r="N106" s="27">
        <f t="shared" si="13"/>
        <v>0.49787674177450786</v>
      </c>
    </row>
    <row r="107" spans="1:14">
      <c r="A107" s="29" t="s">
        <v>147</v>
      </c>
      <c r="B107" s="29" t="s">
        <v>46</v>
      </c>
      <c r="C107" s="30">
        <v>7.35</v>
      </c>
      <c r="D107" s="31">
        <v>1.26</v>
      </c>
      <c r="E107" s="31">
        <f t="shared" si="15"/>
        <v>1.5</v>
      </c>
      <c r="F107" s="31"/>
      <c r="G107" s="32">
        <v>0.12</v>
      </c>
      <c r="H107" s="31">
        <v>1.7689999999999999</v>
      </c>
      <c r="I107" s="31">
        <f t="shared" si="8"/>
        <v>0.52024774343446967</v>
      </c>
      <c r="J107" s="33">
        <f t="shared" si="9"/>
        <v>0.12478142126275756</v>
      </c>
      <c r="K107" s="33">
        <f t="shared" si="10"/>
        <v>0.16637522835034341</v>
      </c>
      <c r="L107" s="27">
        <f t="shared" si="11"/>
        <v>0.24956284252551511</v>
      </c>
      <c r="M107" s="27">
        <f t="shared" si="12"/>
        <v>0.48974483151943526</v>
      </c>
      <c r="N107" s="27">
        <f t="shared" si="13"/>
        <v>0.48974483151943526</v>
      </c>
    </row>
    <row r="108" spans="1:14">
      <c r="A108" s="29" t="s">
        <v>148</v>
      </c>
      <c r="B108" s="29" t="s">
        <v>46</v>
      </c>
      <c r="C108" s="30">
        <v>11.27</v>
      </c>
      <c r="D108" s="31">
        <v>1.125</v>
      </c>
      <c r="E108" s="31">
        <f t="shared" si="15"/>
        <v>1.5</v>
      </c>
      <c r="F108" s="31"/>
      <c r="G108" s="32">
        <v>0.188</v>
      </c>
      <c r="H108" s="31">
        <v>2.6339999999999999</v>
      </c>
      <c r="I108" s="31">
        <f t="shared" si="8"/>
        <v>0.77312631709436319</v>
      </c>
      <c r="J108" s="33">
        <f t="shared" si="9"/>
        <v>0.16987638803342942</v>
      </c>
      <c r="K108" s="33">
        <f t="shared" si="10"/>
        <v>0.22650185071123921</v>
      </c>
      <c r="L108" s="27">
        <f t="shared" si="11"/>
        <v>0.33975277606685883</v>
      </c>
      <c r="M108" s="27">
        <f t="shared" si="12"/>
        <v>0.46875</v>
      </c>
      <c r="N108" s="27">
        <f t="shared" si="13"/>
        <v>0.46875</v>
      </c>
    </row>
    <row r="109" spans="1:14">
      <c r="A109" s="29" t="s">
        <v>149</v>
      </c>
      <c r="B109" s="29" t="s">
        <v>46</v>
      </c>
      <c r="C109" s="30">
        <v>7.66</v>
      </c>
      <c r="D109" s="31">
        <v>1.5269999999999999</v>
      </c>
      <c r="E109" s="31">
        <v>1.625</v>
      </c>
      <c r="F109" s="31"/>
      <c r="G109" s="32">
        <v>4.9000000000000002E-2</v>
      </c>
      <c r="H109" s="31">
        <v>0.82479999999999998</v>
      </c>
      <c r="I109" s="31">
        <f t="shared" si="8"/>
        <v>0.24260635108081841</v>
      </c>
      <c r="J109" s="33">
        <f t="shared" si="9"/>
        <v>7.5395291263881989E-2</v>
      </c>
      <c r="K109" s="33">
        <f t="shared" si="10"/>
        <v>9.2794204632470137E-2</v>
      </c>
      <c r="L109" s="27">
        <f t="shared" si="11"/>
        <v>0.15079058252776398</v>
      </c>
      <c r="M109" s="27">
        <f t="shared" si="12"/>
        <v>0.55746939377870786</v>
      </c>
      <c r="N109" s="27">
        <f t="shared" si="13"/>
        <v>0.55746939377870786</v>
      </c>
    </row>
    <row r="110" spans="1:14">
      <c r="A110" s="29" t="s">
        <v>150</v>
      </c>
      <c r="B110" s="29" t="s">
        <v>46</v>
      </c>
      <c r="C110" s="30">
        <v>5.69</v>
      </c>
      <c r="D110" s="31">
        <v>1.5089999999999999</v>
      </c>
      <c r="E110" s="31">
        <v>1.625</v>
      </c>
      <c r="F110" s="31"/>
      <c r="G110" s="32">
        <v>5.8000000000000003E-2</v>
      </c>
      <c r="H110" s="31">
        <v>0.97070000000000001</v>
      </c>
      <c r="I110" s="31">
        <f t="shared" si="8"/>
        <v>0.28552678991416203</v>
      </c>
      <c r="J110" s="33">
        <f t="shared" si="9"/>
        <v>8.7758550495100854E-2</v>
      </c>
      <c r="K110" s="33">
        <f t="shared" si="10"/>
        <v>0.10801052368627798</v>
      </c>
      <c r="L110" s="27">
        <f t="shared" si="11"/>
        <v>0.17551710099020171</v>
      </c>
      <c r="M110" s="27">
        <f t="shared" si="12"/>
        <v>0.55439753336392095</v>
      </c>
      <c r="N110" s="27">
        <f t="shared" si="13"/>
        <v>0.55439753336392095</v>
      </c>
    </row>
    <row r="111" spans="1:14">
      <c r="A111" s="29" t="s">
        <v>151</v>
      </c>
      <c r="B111" s="29" t="s">
        <v>46</v>
      </c>
      <c r="C111" s="30">
        <v>6.03</v>
      </c>
      <c r="D111" s="31">
        <v>1.4950000000000001</v>
      </c>
      <c r="E111" s="31">
        <v>1.625</v>
      </c>
      <c r="F111" s="31"/>
      <c r="G111" s="32">
        <v>6.5000000000000002E-2</v>
      </c>
      <c r="H111" s="31">
        <v>1.4950000000000001</v>
      </c>
      <c r="I111" s="31">
        <f t="shared" si="8"/>
        <v>0.31855749507400483</v>
      </c>
      <c r="J111" s="33">
        <f t="shared" si="9"/>
        <v>9.7073428178598223E-2</v>
      </c>
      <c r="K111" s="33">
        <f t="shared" si="10"/>
        <v>0.1194749885275055</v>
      </c>
      <c r="L111" s="27">
        <f t="shared" si="11"/>
        <v>0.19414685635719645</v>
      </c>
      <c r="M111" s="27">
        <f t="shared" si="12"/>
        <v>0.55202185192254838</v>
      </c>
      <c r="N111" s="27">
        <f t="shared" si="13"/>
        <v>0.55202185192254838</v>
      </c>
    </row>
    <row r="112" spans="1:14">
      <c r="A112" s="29" t="s">
        <v>152</v>
      </c>
      <c r="B112" s="29" t="s">
        <v>46</v>
      </c>
      <c r="C112" s="30">
        <v>3.99</v>
      </c>
      <c r="D112" s="31">
        <v>1.4390000000000001</v>
      </c>
      <c r="E112" s="31">
        <v>1.625</v>
      </c>
      <c r="F112" s="31"/>
      <c r="G112" s="32">
        <v>8.3000000000000004E-2</v>
      </c>
      <c r="H112" s="31">
        <v>1.2</v>
      </c>
      <c r="I112" s="31">
        <f t="shared" si="8"/>
        <v>0.44760155491285919</v>
      </c>
      <c r="J112" s="33">
        <f t="shared" si="9"/>
        <v>0.13180036220827998</v>
      </c>
      <c r="K112" s="33">
        <f t="shared" si="10"/>
        <v>0.16221583041019075</v>
      </c>
      <c r="L112" s="27">
        <f t="shared" si="11"/>
        <v>0.26360072441655996</v>
      </c>
      <c r="M112" s="27">
        <f t="shared" si="12"/>
        <v>0.54264088032510049</v>
      </c>
      <c r="N112" s="27">
        <f t="shared" si="13"/>
        <v>0.54264088032510049</v>
      </c>
    </row>
    <row r="113" spans="1:14">
      <c r="A113" s="29" t="s">
        <v>153</v>
      </c>
      <c r="B113" s="29" t="s">
        <v>46</v>
      </c>
      <c r="C113" s="30">
        <v>9.0299999999999994</v>
      </c>
      <c r="D113" s="31">
        <v>1.4350000000000001</v>
      </c>
      <c r="E113" s="31">
        <v>1.625</v>
      </c>
      <c r="F113" s="31"/>
      <c r="G113" s="32">
        <v>9.5000000000000001E-2</v>
      </c>
      <c r="H113" s="31">
        <v>1.552</v>
      </c>
      <c r="I113" s="31">
        <f t="shared" si="8"/>
        <v>0.45663049219927637</v>
      </c>
      <c r="J113" s="33">
        <f t="shared" si="9"/>
        <v>0.13413092617267305</v>
      </c>
      <c r="K113" s="33">
        <f t="shared" si="10"/>
        <v>0.16508421682790531</v>
      </c>
      <c r="L113" s="27">
        <f t="shared" si="11"/>
        <v>0.26826185234534611</v>
      </c>
      <c r="M113" s="27">
        <f t="shared" si="12"/>
        <v>0.54197843591788775</v>
      </c>
      <c r="N113" s="27">
        <f t="shared" si="13"/>
        <v>0.54197843591788775</v>
      </c>
    </row>
    <row r="114" spans="1:14">
      <c r="A114" s="29" t="s">
        <v>154</v>
      </c>
      <c r="B114" s="29" t="s">
        <v>46</v>
      </c>
      <c r="C114" s="30">
        <v>9.99</v>
      </c>
      <c r="D114" s="31">
        <v>1.385</v>
      </c>
      <c r="E114" s="31">
        <v>1.625</v>
      </c>
      <c r="F114" s="31"/>
      <c r="G114" s="32">
        <v>0.12</v>
      </c>
      <c r="H114" s="31">
        <v>1.929</v>
      </c>
      <c r="I114" s="31">
        <f t="shared" si="8"/>
        <v>0.56737163323831663</v>
      </c>
      <c r="J114" s="33">
        <f t="shared" si="9"/>
        <v>0.16166013563678122</v>
      </c>
      <c r="K114" s="33">
        <f t="shared" si="10"/>
        <v>0.19896632078373072</v>
      </c>
      <c r="L114" s="27">
        <f t="shared" si="11"/>
        <v>0.32332027127356244</v>
      </c>
      <c r="M114" s="27">
        <f t="shared" si="12"/>
        <v>0.53378659125159744</v>
      </c>
      <c r="N114" s="27">
        <f t="shared" si="13"/>
        <v>0.53378659125159744</v>
      </c>
    </row>
    <row r="115" spans="1:14">
      <c r="A115" s="29" t="s">
        <v>155</v>
      </c>
      <c r="B115" s="29" t="s">
        <v>46</v>
      </c>
      <c r="C115" s="30">
        <v>8.64</v>
      </c>
      <c r="D115" s="31">
        <v>1.3120000000000001</v>
      </c>
      <c r="E115" s="31">
        <v>1.625</v>
      </c>
      <c r="F115" s="31"/>
      <c r="G115" s="32">
        <v>0.156</v>
      </c>
      <c r="H115" s="31">
        <v>2.4470000000000001</v>
      </c>
      <c r="I115" s="31">
        <f>PI()*((E115/2)^2-(D115/2)^2)</f>
        <v>0.7220016090461695</v>
      </c>
      <c r="J115" s="33">
        <f>(PI()/4)*((E115/2)^4-(D115/2)^4)</f>
        <v>0.19683428978809442</v>
      </c>
      <c r="K115" s="33">
        <f>J115/(E115/2)</f>
        <v>0.24225758743150083</v>
      </c>
      <c r="L115" s="27">
        <f>2*J115</f>
        <v>0.39366857957618884</v>
      </c>
      <c r="M115" s="27">
        <f>SQRT(J115/I115)</f>
        <v>0.52213318463778946</v>
      </c>
      <c r="N115" s="27">
        <f>M115</f>
        <v>0.52213318463778946</v>
      </c>
    </row>
    <row r="116" spans="1:14">
      <c r="A116" s="29" t="s">
        <v>156</v>
      </c>
      <c r="B116" s="29" t="s">
        <v>46</v>
      </c>
      <c r="C116" s="30">
        <v>16.899999999999999</v>
      </c>
      <c r="D116" s="31">
        <v>1.25</v>
      </c>
      <c r="E116" s="31">
        <v>1.625</v>
      </c>
      <c r="F116" s="31"/>
      <c r="G116" s="32">
        <v>0.188</v>
      </c>
      <c r="H116" s="31">
        <v>2.8849999999999998</v>
      </c>
      <c r="I116" s="31">
        <f t="shared" si="8"/>
        <v>0.84675739491287394</v>
      </c>
      <c r="J116" s="33">
        <f t="shared" si="9"/>
        <v>0.22243919846832333</v>
      </c>
      <c r="K116" s="33">
        <f t="shared" si="10"/>
        <v>0.27377132119178255</v>
      </c>
      <c r="L116" s="27">
        <f t="shared" si="11"/>
        <v>0.44487839693664666</v>
      </c>
      <c r="M116" s="27">
        <f t="shared" si="12"/>
        <v>0.51253810833927271</v>
      </c>
      <c r="N116" s="27">
        <f t="shared" si="13"/>
        <v>0.51253810833927271</v>
      </c>
    </row>
    <row r="117" spans="1:14">
      <c r="A117" s="29" t="s">
        <v>247</v>
      </c>
      <c r="B117" s="29" t="s">
        <v>46</v>
      </c>
      <c r="C117" s="30">
        <v>5.46</v>
      </c>
      <c r="D117" s="31">
        <v>1.68</v>
      </c>
      <c r="E117" s="31">
        <v>1.75</v>
      </c>
      <c r="F117" s="31"/>
      <c r="G117" s="32">
        <v>3.5000000000000003E-2</v>
      </c>
      <c r="H117" s="34" t="s">
        <v>243</v>
      </c>
      <c r="I117" s="31">
        <f t="shared" si="8"/>
        <v>0.18857409903172767</v>
      </c>
      <c r="J117" s="33">
        <f t="shared" si="9"/>
        <v>6.9358732211988364E-2</v>
      </c>
      <c r="K117" s="33">
        <f t="shared" si="10"/>
        <v>7.9267122527986705E-2</v>
      </c>
      <c r="L117" s="27">
        <f t="shared" si="11"/>
        <v>0.13871746442397673</v>
      </c>
      <c r="M117" s="27">
        <f t="shared" si="12"/>
        <v>0.60647032079072083</v>
      </c>
      <c r="N117" s="27">
        <f t="shared" si="13"/>
        <v>0.60647032079072083</v>
      </c>
    </row>
    <row r="118" spans="1:14">
      <c r="A118" s="29" t="s">
        <v>157</v>
      </c>
      <c r="B118" s="29" t="s">
        <v>46</v>
      </c>
      <c r="C118" s="30">
        <v>6.5</v>
      </c>
      <c r="D118" s="31">
        <v>1.6519999999999999</v>
      </c>
      <c r="E118" s="31">
        <v>1.75</v>
      </c>
      <c r="F118" s="31"/>
      <c r="G118" s="32">
        <v>4.9000000000000002E-2</v>
      </c>
      <c r="H118" s="31">
        <v>0.89019999999999999</v>
      </c>
      <c r="I118" s="31">
        <f t="shared" si="8"/>
        <v>0.26184860608405602</v>
      </c>
      <c r="J118" s="33">
        <f t="shared" si="9"/>
        <v>9.4782714649427696E-2</v>
      </c>
      <c r="K118" s="33">
        <f t="shared" si="10"/>
        <v>0.1083231024564888</v>
      </c>
      <c r="L118" s="27">
        <f t="shared" si="11"/>
        <v>0.18956542929885539</v>
      </c>
      <c r="M118" s="27">
        <f t="shared" si="12"/>
        <v>0.60164378996213363</v>
      </c>
      <c r="N118" s="27">
        <f t="shared" si="13"/>
        <v>0.60164378996213363</v>
      </c>
    </row>
    <row r="119" spans="1:14">
      <c r="A119" s="29" t="s">
        <v>158</v>
      </c>
      <c r="B119" s="29" t="s">
        <v>46</v>
      </c>
      <c r="C119" s="30">
        <v>6.5</v>
      </c>
      <c r="D119" s="31">
        <v>1.6339999999999999</v>
      </c>
      <c r="E119" s="31">
        <v>1.75</v>
      </c>
      <c r="F119" s="31"/>
      <c r="G119" s="32">
        <v>5.8000000000000003E-2</v>
      </c>
      <c r="H119" s="31">
        <v>1.048</v>
      </c>
      <c r="I119" s="31">
        <f t="shared" si="8"/>
        <v>0.30830333665268828</v>
      </c>
      <c r="J119" s="33">
        <f t="shared" si="9"/>
        <v>0.11045845700092018</v>
      </c>
      <c r="K119" s="33">
        <f t="shared" si="10"/>
        <v>0.12623823657248021</v>
      </c>
      <c r="L119" s="27">
        <f t="shared" si="11"/>
        <v>0.22091691400184035</v>
      </c>
      <c r="M119" s="27">
        <f t="shared" si="12"/>
        <v>0.59856369752934402</v>
      </c>
      <c r="N119" s="27">
        <f t="shared" si="13"/>
        <v>0.59856369752934402</v>
      </c>
    </row>
    <row r="120" spans="1:14">
      <c r="A120" s="29" t="s">
        <v>159</v>
      </c>
      <c r="B120" s="29" t="s">
        <v>46</v>
      </c>
      <c r="C120" s="30">
        <v>6.05</v>
      </c>
      <c r="D120" s="31">
        <v>1.62</v>
      </c>
      <c r="E120" s="31">
        <v>1.75</v>
      </c>
      <c r="F120" s="31"/>
      <c r="G120" s="32">
        <v>6.5000000000000002E-2</v>
      </c>
      <c r="H120" s="31">
        <v>1.17</v>
      </c>
      <c r="I120" s="31">
        <f t="shared" si="8"/>
        <v>0.3440829353844217</v>
      </c>
      <c r="J120" s="33">
        <f t="shared" si="9"/>
        <v>0.12229782782735425</v>
      </c>
      <c r="K120" s="33">
        <f t="shared" si="10"/>
        <v>0.13976894608840487</v>
      </c>
      <c r="L120" s="27">
        <f t="shared" si="11"/>
        <v>0.2445956556547085</v>
      </c>
      <c r="M120" s="27">
        <f t="shared" si="12"/>
        <v>0.59618055151103344</v>
      </c>
      <c r="N120" s="27">
        <f t="shared" si="13"/>
        <v>0.59618055151103344</v>
      </c>
    </row>
    <row r="121" spans="1:14">
      <c r="A121" s="29" t="s">
        <v>160</v>
      </c>
      <c r="B121" s="29" t="s">
        <v>46</v>
      </c>
      <c r="C121" s="30">
        <v>5.49</v>
      </c>
      <c r="D121" s="31">
        <v>1.56</v>
      </c>
      <c r="E121" s="31">
        <v>1.75</v>
      </c>
      <c r="F121" s="31"/>
      <c r="G121" s="32">
        <v>9.5000000000000001E-2</v>
      </c>
      <c r="H121" s="31">
        <v>1.679</v>
      </c>
      <c r="I121" s="31">
        <f t="shared" si="8"/>
        <v>0.49393690496065507</v>
      </c>
      <c r="J121" s="33">
        <f t="shared" si="9"/>
        <v>0.16967041395964103</v>
      </c>
      <c r="K121" s="33">
        <f t="shared" si="10"/>
        <v>0.19390904452530403</v>
      </c>
      <c r="L121" s="27">
        <f t="shared" si="11"/>
        <v>0.33934082791928205</v>
      </c>
      <c r="M121" s="27">
        <f t="shared" si="12"/>
        <v>0.58609406241660567</v>
      </c>
      <c r="N121" s="27">
        <f t="shared" si="13"/>
        <v>0.58609406241660567</v>
      </c>
    </row>
    <row r="122" spans="1:14">
      <c r="A122" s="29" t="s">
        <v>161</v>
      </c>
      <c r="B122" s="29" t="s">
        <v>46</v>
      </c>
      <c r="C122" s="30">
        <v>8.6</v>
      </c>
      <c r="D122" s="31">
        <v>1.51</v>
      </c>
      <c r="E122" s="31">
        <v>1.75</v>
      </c>
      <c r="F122" s="31"/>
      <c r="G122" s="32">
        <v>0.12</v>
      </c>
      <c r="H122" s="31">
        <v>2.089</v>
      </c>
      <c r="I122" s="31">
        <f>PI()*((E122/2)^2-(D122/2)^2)</f>
        <v>0.61449552304216348</v>
      </c>
      <c r="J122" s="33">
        <f>(PI()/4)*((E122/2)^4-(D122/2)^4)</f>
        <v>0.20518773633781642</v>
      </c>
      <c r="K122" s="33">
        <f>J122/(E122/2)</f>
        <v>0.23450027010036162</v>
      </c>
      <c r="L122" s="27">
        <f>2*J122</f>
        <v>0.41037547267563285</v>
      </c>
      <c r="M122" s="27">
        <f>SQRT(J122/I122)</f>
        <v>0.5778516245542622</v>
      </c>
      <c r="N122" s="27">
        <f>M122</f>
        <v>0.5778516245542622</v>
      </c>
    </row>
    <row r="123" spans="1:14">
      <c r="A123" s="29" t="s">
        <v>162</v>
      </c>
      <c r="B123" s="29" t="s">
        <v>46</v>
      </c>
      <c r="C123" s="30">
        <v>14.49</v>
      </c>
      <c r="D123" s="31">
        <v>1.375</v>
      </c>
      <c r="E123" s="31">
        <v>1.75</v>
      </c>
      <c r="F123" s="31"/>
      <c r="G123" s="32">
        <v>0.188</v>
      </c>
      <c r="H123" s="31">
        <v>3.1360000000000001</v>
      </c>
      <c r="I123" s="31">
        <f t="shared" si="8"/>
        <v>0.92038847273138469</v>
      </c>
      <c r="J123" s="33">
        <f t="shared" si="9"/>
        <v>0.2849249471248525</v>
      </c>
      <c r="K123" s="33">
        <f t="shared" si="10"/>
        <v>0.32562851099983142</v>
      </c>
      <c r="L123" s="27">
        <f t="shared" si="11"/>
        <v>0.569849894249705</v>
      </c>
      <c r="M123" s="27">
        <f t="shared" si="12"/>
        <v>0.55639043171140179</v>
      </c>
      <c r="N123" s="27">
        <f t="shared" si="13"/>
        <v>0.55639043171140179</v>
      </c>
    </row>
    <row r="124" spans="1:14">
      <c r="A124" s="29" t="s">
        <v>248</v>
      </c>
      <c r="B124" s="29" t="s">
        <v>46</v>
      </c>
      <c r="C124" s="30">
        <v>10.62</v>
      </c>
      <c r="D124" s="31">
        <v>1.635</v>
      </c>
      <c r="E124" s="31">
        <v>1.875</v>
      </c>
      <c r="F124" s="31"/>
      <c r="G124" s="32">
        <v>0.12</v>
      </c>
      <c r="H124" s="34" t="s">
        <v>243</v>
      </c>
      <c r="I124" s="31">
        <f t="shared" si="8"/>
        <v>0.66161941284601045</v>
      </c>
      <c r="J124" s="33">
        <f t="shared" si="9"/>
        <v>0.25591645644950201</v>
      </c>
      <c r="K124" s="33">
        <f t="shared" si="10"/>
        <v>0.27297755354613545</v>
      </c>
      <c r="L124" s="27">
        <f t="shared" si="11"/>
        <v>0.51183291289900401</v>
      </c>
      <c r="M124" s="27">
        <f t="shared" si="12"/>
        <v>0.62193498454420459</v>
      </c>
      <c r="N124" s="27">
        <f t="shared" si="13"/>
        <v>0.62193498454420459</v>
      </c>
    </row>
    <row r="125" spans="1:14">
      <c r="A125" s="29" t="s">
        <v>163</v>
      </c>
      <c r="B125" s="29" t="s">
        <v>46</v>
      </c>
      <c r="C125" s="30">
        <v>9.5500000000000007</v>
      </c>
      <c r="D125" s="31">
        <v>1.9019999999999999</v>
      </c>
      <c r="E125" s="31">
        <v>2</v>
      </c>
      <c r="F125" s="31"/>
      <c r="G125" s="32">
        <v>4.9000000000000002E-2</v>
      </c>
      <c r="H125" s="31">
        <v>1.0209999999999999</v>
      </c>
      <c r="I125" s="31">
        <f t="shared" si="8"/>
        <v>0.30033311609053093</v>
      </c>
      <c r="J125" s="33">
        <f t="shared" si="9"/>
        <v>0.14298867165398085</v>
      </c>
      <c r="K125" s="33">
        <f t="shared" si="10"/>
        <v>0.14298867165398085</v>
      </c>
      <c r="L125" s="27">
        <f t="shared" si="11"/>
        <v>0.28597734330796171</v>
      </c>
      <c r="M125" s="27">
        <f t="shared" si="12"/>
        <v>0.69000018115939665</v>
      </c>
      <c r="N125" s="27">
        <f t="shared" si="13"/>
        <v>0.69000018115939665</v>
      </c>
    </row>
    <row r="126" spans="1:14">
      <c r="A126" s="29" t="s">
        <v>164</v>
      </c>
      <c r="B126" s="29" t="s">
        <v>46</v>
      </c>
      <c r="C126" s="30">
        <v>7.49</v>
      </c>
      <c r="D126" s="31">
        <v>1.87</v>
      </c>
      <c r="E126" s="31">
        <v>2</v>
      </c>
      <c r="F126" s="31"/>
      <c r="G126" s="32">
        <v>6.5000000000000002E-2</v>
      </c>
      <c r="H126" s="31">
        <v>1.343</v>
      </c>
      <c r="I126" s="31">
        <f t="shared" si="8"/>
        <v>0.39513381600525577</v>
      </c>
      <c r="J126" s="33">
        <f t="shared" si="9"/>
        <v>0.18514241907561266</v>
      </c>
      <c r="K126" s="33">
        <f t="shared" si="10"/>
        <v>0.18514241907561266</v>
      </c>
      <c r="L126" s="27">
        <f t="shared" si="11"/>
        <v>0.37028483815122532</v>
      </c>
      <c r="M126" s="27">
        <f t="shared" si="12"/>
        <v>0.68451168726326361</v>
      </c>
      <c r="N126" s="27">
        <f t="shared" si="13"/>
        <v>0.68451168726326361</v>
      </c>
    </row>
    <row r="127" spans="1:14">
      <c r="A127" s="29" t="s">
        <v>165</v>
      </c>
      <c r="B127" s="29" t="s">
        <v>46</v>
      </c>
      <c r="C127" s="30">
        <v>9.98</v>
      </c>
      <c r="D127" s="31">
        <v>1.81</v>
      </c>
      <c r="E127" s="31">
        <v>2</v>
      </c>
      <c r="F127" s="31"/>
      <c r="G127" s="32">
        <v>9.5000000000000001E-2</v>
      </c>
      <c r="H127" s="31">
        <v>1.9330000000000001</v>
      </c>
      <c r="I127" s="31">
        <f t="shared" si="8"/>
        <v>0.56854973048341284</v>
      </c>
      <c r="J127" s="33">
        <f t="shared" si="9"/>
        <v>0.25855154337314745</v>
      </c>
      <c r="K127" s="33">
        <f t="shared" si="10"/>
        <v>0.25855154337314745</v>
      </c>
      <c r="L127" s="27">
        <f t="shared" si="11"/>
        <v>0.5171030867462949</v>
      </c>
      <c r="M127" s="27">
        <f t="shared" si="12"/>
        <v>0.67435617443603191</v>
      </c>
      <c r="N127" s="27">
        <f t="shared" si="13"/>
        <v>0.67435617443603191</v>
      </c>
    </row>
    <row r="128" spans="1:14">
      <c r="A128" s="29" t="s">
        <v>166</v>
      </c>
      <c r="B128" s="29" t="s">
        <v>46</v>
      </c>
      <c r="C128" s="30">
        <v>12.05</v>
      </c>
      <c r="D128" s="31">
        <v>1.76</v>
      </c>
      <c r="E128" s="31">
        <v>2</v>
      </c>
      <c r="F128" s="31"/>
      <c r="G128" s="32">
        <v>0.12</v>
      </c>
      <c r="H128" s="31">
        <v>2.4089999999999998</v>
      </c>
      <c r="I128" s="31">
        <f t="shared" si="8"/>
        <v>0.70874330264985741</v>
      </c>
      <c r="J128" s="33">
        <f t="shared" si="9"/>
        <v>0.31439852905547672</v>
      </c>
      <c r="K128" s="33">
        <f t="shared" si="10"/>
        <v>0.31439852905547672</v>
      </c>
      <c r="L128" s="27">
        <f t="shared" si="11"/>
        <v>0.62879705811095343</v>
      </c>
      <c r="M128" s="27">
        <f t="shared" si="12"/>
        <v>0.66603303221386845</v>
      </c>
      <c r="N128" s="27">
        <f t="shared" si="13"/>
        <v>0.66603303221386845</v>
      </c>
    </row>
    <row r="129" spans="1:14">
      <c r="A129" s="29" t="s">
        <v>249</v>
      </c>
      <c r="B129" s="29" t="s">
        <v>46</v>
      </c>
      <c r="C129" s="30">
        <v>12.98</v>
      </c>
      <c r="D129" s="31">
        <v>1.6879999999999999</v>
      </c>
      <c r="E129" s="31">
        <v>2</v>
      </c>
      <c r="F129" s="31"/>
      <c r="G129" s="32">
        <v>0.156</v>
      </c>
      <c r="H129" s="34" t="s">
        <v>243</v>
      </c>
      <c r="I129" s="31">
        <f t="shared" si="8"/>
        <v>0.9037231091022544</v>
      </c>
      <c r="J129" s="33">
        <f t="shared" si="9"/>
        <v>0.38686940343692938</v>
      </c>
      <c r="K129" s="33">
        <f t="shared" si="10"/>
        <v>0.38686940343692938</v>
      </c>
      <c r="L129" s="27">
        <f t="shared" si="11"/>
        <v>0.77373880687385876</v>
      </c>
      <c r="M129" s="27">
        <f t="shared" si="12"/>
        <v>0.65428128507546346</v>
      </c>
      <c r="N129" s="27">
        <f t="shared" si="13"/>
        <v>0.65428128507546346</v>
      </c>
    </row>
    <row r="130" spans="1:14">
      <c r="A130" s="29" t="s">
        <v>167</v>
      </c>
      <c r="B130" s="29" t="s">
        <v>46</v>
      </c>
      <c r="C130" s="30">
        <v>14.49</v>
      </c>
      <c r="D130" s="31">
        <v>1.6240000000000001</v>
      </c>
      <c r="E130" s="31">
        <v>2</v>
      </c>
      <c r="F130" s="31"/>
      <c r="G130" s="32">
        <v>0.188</v>
      </c>
      <c r="H130" s="31">
        <v>3.6379999999999999</v>
      </c>
      <c r="I130" s="31">
        <f t="shared" si="8"/>
        <v>1.0702023870012844</v>
      </c>
      <c r="J130" s="33">
        <f t="shared" si="9"/>
        <v>0.4439584774140648</v>
      </c>
      <c r="K130" s="33">
        <f t="shared" si="10"/>
        <v>0.4439584774140648</v>
      </c>
      <c r="L130" s="27">
        <f t="shared" si="11"/>
        <v>0.8879169548281296</v>
      </c>
      <c r="M130" s="27">
        <f t="shared" si="12"/>
        <v>0.6440776350720463</v>
      </c>
      <c r="N130" s="27">
        <f t="shared" si="13"/>
        <v>0.6440776350720463</v>
      </c>
    </row>
    <row r="131" spans="1:14">
      <c r="A131" s="29" t="s">
        <v>168</v>
      </c>
      <c r="B131" s="29" t="s">
        <v>46</v>
      </c>
      <c r="C131" s="30">
        <v>9.7200000000000006</v>
      </c>
      <c r="D131" s="31">
        <v>2.0099999999999998</v>
      </c>
      <c r="E131" s="31">
        <v>2.25</v>
      </c>
      <c r="F131" s="31"/>
      <c r="G131" s="32">
        <v>0.12</v>
      </c>
      <c r="H131" s="31">
        <v>2.73</v>
      </c>
      <c r="I131" s="31">
        <f t="shared" si="8"/>
        <v>0.802991082257552</v>
      </c>
      <c r="J131" s="33">
        <f t="shared" si="9"/>
        <v>0.45683166408484954</v>
      </c>
      <c r="K131" s="33">
        <f t="shared" si="10"/>
        <v>0.40607259029764403</v>
      </c>
      <c r="L131" s="27">
        <f t="shared" si="11"/>
        <v>0.91366332816969908</v>
      </c>
      <c r="M131" s="27">
        <f t="shared" si="12"/>
        <v>0.75426288520647755</v>
      </c>
      <c r="N131" s="27">
        <f t="shared" si="13"/>
        <v>0.75426288520647755</v>
      </c>
    </row>
    <row r="132" spans="1:14">
      <c r="A132" s="29" t="s">
        <v>169</v>
      </c>
      <c r="B132" s="29" t="s">
        <v>46</v>
      </c>
      <c r="C132" s="30">
        <v>29.8</v>
      </c>
      <c r="D132" s="31">
        <v>1.75</v>
      </c>
      <c r="E132" s="31">
        <v>2.25</v>
      </c>
      <c r="F132" s="31"/>
      <c r="G132" s="32">
        <v>0.25</v>
      </c>
      <c r="H132" s="31">
        <v>5.34</v>
      </c>
      <c r="I132" s="31">
        <f t="shared" si="8"/>
        <v>1.5707963267948966</v>
      </c>
      <c r="J132" s="33">
        <f t="shared" si="9"/>
        <v>0.79767000970053337</v>
      </c>
      <c r="K132" s="33">
        <f t="shared" si="10"/>
        <v>0.70904000862269634</v>
      </c>
      <c r="L132" s="27">
        <f t="shared" si="11"/>
        <v>1.5953400194010667</v>
      </c>
      <c r="M132" s="27">
        <f t="shared" si="12"/>
        <v>0.7126096406869612</v>
      </c>
      <c r="N132" s="27">
        <f t="shared" si="13"/>
        <v>0.7126096406869612</v>
      </c>
    </row>
    <row r="133" spans="1:14">
      <c r="A133" s="29" t="s">
        <v>170</v>
      </c>
      <c r="B133" s="29" t="s">
        <v>46</v>
      </c>
      <c r="C133" s="30">
        <v>13.2</v>
      </c>
      <c r="D133" s="31">
        <v>2.2599999999999998</v>
      </c>
      <c r="E133" s="31">
        <v>2.5</v>
      </c>
      <c r="F133" s="31"/>
      <c r="G133" s="32">
        <v>0.12</v>
      </c>
      <c r="H133" s="31">
        <v>3.05</v>
      </c>
      <c r="I133" s="31">
        <f t="shared" si="8"/>
        <v>0.89723886186524582</v>
      </c>
      <c r="J133" s="33">
        <f t="shared" si="9"/>
        <v>0.63690500609504475</v>
      </c>
      <c r="K133" s="33">
        <f t="shared" si="10"/>
        <v>0.50952400487603577</v>
      </c>
      <c r="L133" s="27">
        <f t="shared" si="11"/>
        <v>1.2738100121900895</v>
      </c>
      <c r="M133" s="27">
        <f t="shared" si="12"/>
        <v>0.84252596399161495</v>
      </c>
      <c r="N133" s="27">
        <f t="shared" si="13"/>
        <v>0.84252596399161495</v>
      </c>
    </row>
    <row r="134" spans="1:14">
      <c r="A134" s="29" t="s">
        <v>171</v>
      </c>
      <c r="B134" s="29" t="s">
        <v>46</v>
      </c>
      <c r="C134" s="30">
        <v>36.409999999999997</v>
      </c>
      <c r="D134" s="31">
        <v>2</v>
      </c>
      <c r="E134" s="31">
        <v>2.5</v>
      </c>
      <c r="F134" s="31"/>
      <c r="G134" s="32">
        <v>0.25</v>
      </c>
      <c r="H134" s="31">
        <v>6.008</v>
      </c>
      <c r="I134" s="31">
        <f t="shared" si="8"/>
        <v>1.7671458676442586</v>
      </c>
      <c r="J134" s="33">
        <f t="shared" si="9"/>
        <v>1.1320778214596032</v>
      </c>
      <c r="K134" s="33">
        <f t="shared" si="10"/>
        <v>0.90566225716768256</v>
      </c>
      <c r="L134" s="27">
        <f t="shared" si="11"/>
        <v>2.2641556429192065</v>
      </c>
      <c r="M134" s="27">
        <f t="shared" si="12"/>
        <v>0.80039052967910607</v>
      </c>
      <c r="N134" s="27">
        <f t="shared" si="13"/>
        <v>0.80039052967910607</v>
      </c>
    </row>
    <row r="135" spans="1:14">
      <c r="A135" s="29" t="s">
        <v>172</v>
      </c>
      <c r="B135" s="29" t="s">
        <v>173</v>
      </c>
      <c r="C135" s="30">
        <v>8.77</v>
      </c>
      <c r="D135" s="31"/>
      <c r="E135" s="31"/>
      <c r="F135" s="31">
        <v>0.375</v>
      </c>
      <c r="G135" s="32">
        <v>3.5000000000000003E-2</v>
      </c>
      <c r="H135" s="34" t="s">
        <v>243</v>
      </c>
      <c r="I135" s="31">
        <f>F135^2-(F135-2*G135)^2</f>
        <v>4.7600000000000003E-2</v>
      </c>
      <c r="J135" s="33">
        <f>(F135^4-(F135-2*G135)^4)/12</f>
        <v>9.2681166666666679E-4</v>
      </c>
      <c r="K135" s="33">
        <f>J135/(F135/2)</f>
        <v>4.9429955555555559E-3</v>
      </c>
      <c r="L135" s="27">
        <f t="shared" ref="L135:L154" si="16">2*J135</f>
        <v>1.8536233333333336E-3</v>
      </c>
      <c r="M135" s="27">
        <f>SQRT(J135/I135)</f>
        <v>0.13953792793836856</v>
      </c>
      <c r="N135" s="27">
        <f>(F135/SQRT(2))/SQRT(6)</f>
        <v>0.10825317547305482</v>
      </c>
    </row>
    <row r="136" spans="1:14">
      <c r="A136" s="29" t="s">
        <v>174</v>
      </c>
      <c r="B136" s="29" t="s">
        <v>173</v>
      </c>
      <c r="C136" s="30">
        <v>7.05</v>
      </c>
      <c r="D136" s="31"/>
      <c r="E136" s="31"/>
      <c r="F136" s="31">
        <v>0.5</v>
      </c>
      <c r="G136" s="32">
        <v>3.5000000000000003E-2</v>
      </c>
      <c r="H136" s="27">
        <v>0.2213</v>
      </c>
      <c r="I136" s="31">
        <f t="shared" ref="I136:I154" si="17">F136^2-(F136-2*G136)^2</f>
        <v>6.5100000000000019E-2</v>
      </c>
      <c r="J136" s="33">
        <f t="shared" ref="J136:J154" si="18">(F136^4-(F136-2*G136)^4)/12</f>
        <v>2.3593325000000006E-3</v>
      </c>
      <c r="K136" s="33">
        <f t="shared" ref="K136:K154" si="19">J136/(F136/2)</f>
        <v>9.4373300000000025E-3</v>
      </c>
      <c r="L136" s="27">
        <f t="shared" si="16"/>
        <v>4.7186650000000012E-3</v>
      </c>
      <c r="M136" s="27">
        <f t="shared" ref="M136:M154" si="20">SQRT(J136/I136)</f>
        <v>0.19037244198325204</v>
      </c>
      <c r="N136" s="27">
        <f t="shared" ref="N136:N154" si="21">(F136/SQRT(2))/SQRT(6)</f>
        <v>0.14433756729740643</v>
      </c>
    </row>
    <row r="137" spans="1:14">
      <c r="A137" s="29" t="s">
        <v>175</v>
      </c>
      <c r="B137" s="29" t="s">
        <v>173</v>
      </c>
      <c r="C137" s="30">
        <v>6.5</v>
      </c>
      <c r="D137" s="31"/>
      <c r="E137" s="31"/>
      <c r="F137" s="31">
        <v>0.5</v>
      </c>
      <c r="G137" s="32">
        <v>4.9000000000000002E-2</v>
      </c>
      <c r="H137" s="27">
        <v>0.30049999999999999</v>
      </c>
      <c r="I137" s="31">
        <f t="shared" si="17"/>
        <v>8.8395999999999975E-2</v>
      </c>
      <c r="J137" s="33">
        <f t="shared" si="18"/>
        <v>3.0320122653333323E-3</v>
      </c>
      <c r="K137" s="33">
        <f t="shared" si="19"/>
        <v>1.2128049061333329E-2</v>
      </c>
      <c r="L137" s="27">
        <f t="shared" si="16"/>
        <v>6.0640245306666646E-3</v>
      </c>
      <c r="M137" s="27">
        <f t="shared" si="20"/>
        <v>0.18520349168774689</v>
      </c>
      <c r="N137" s="27">
        <f t="shared" si="21"/>
        <v>0.14433756729740643</v>
      </c>
    </row>
    <row r="138" spans="1:14">
      <c r="A138" s="29" t="s">
        <v>250</v>
      </c>
      <c r="B138" s="29" t="s">
        <v>173</v>
      </c>
      <c r="C138" s="30">
        <v>7.28</v>
      </c>
      <c r="D138" s="31"/>
      <c r="E138" s="31"/>
      <c r="F138" s="31">
        <v>0.5</v>
      </c>
      <c r="G138" s="32">
        <v>9.5000000000000001E-2</v>
      </c>
      <c r="H138" s="34" t="s">
        <v>243</v>
      </c>
      <c r="I138" s="31">
        <f t="shared" si="17"/>
        <v>0.15389999999999998</v>
      </c>
      <c r="J138" s="33">
        <f t="shared" si="18"/>
        <v>4.4387324999999997E-3</v>
      </c>
      <c r="K138" s="33">
        <f t="shared" si="19"/>
        <v>1.7754929999999999E-2</v>
      </c>
      <c r="L138" s="27">
        <f t="shared" si="16"/>
        <v>8.8774649999999993E-3</v>
      </c>
      <c r="M138" s="27">
        <f t="shared" si="20"/>
        <v>0.16982834470919944</v>
      </c>
      <c r="N138" s="27">
        <f t="shared" si="21"/>
        <v>0.14433756729740643</v>
      </c>
    </row>
    <row r="139" spans="1:14">
      <c r="A139" s="29" t="s">
        <v>176</v>
      </c>
      <c r="B139" s="29" t="s">
        <v>173</v>
      </c>
      <c r="C139" s="30">
        <v>6.76</v>
      </c>
      <c r="D139" s="31"/>
      <c r="E139" s="31"/>
      <c r="F139" s="31">
        <v>0.625</v>
      </c>
      <c r="G139" s="32">
        <v>3.5000000000000003E-2</v>
      </c>
      <c r="H139" s="27">
        <v>0.28079999999999999</v>
      </c>
      <c r="I139" s="31">
        <f t="shared" si="17"/>
        <v>8.2600000000000062E-2</v>
      </c>
      <c r="J139" s="33">
        <f t="shared" si="18"/>
        <v>4.8090408333333369E-3</v>
      </c>
      <c r="K139" s="33">
        <f t="shared" si="19"/>
        <v>1.5388930666666679E-2</v>
      </c>
      <c r="L139" s="27">
        <f t="shared" si="16"/>
        <v>9.6180816666666738E-3</v>
      </c>
      <c r="M139" s="27">
        <f t="shared" si="20"/>
        <v>0.24128993624545</v>
      </c>
      <c r="N139" s="27">
        <f t="shared" si="21"/>
        <v>0.18042195912175804</v>
      </c>
    </row>
    <row r="140" spans="1:14">
      <c r="A140" s="29" t="s">
        <v>177</v>
      </c>
      <c r="B140" s="29" t="s">
        <v>173</v>
      </c>
      <c r="C140" s="30">
        <v>5.72</v>
      </c>
      <c r="D140" s="31"/>
      <c r="E140" s="31"/>
      <c r="F140" s="31">
        <v>0.625</v>
      </c>
      <c r="G140" s="32">
        <v>4.9000000000000002E-2</v>
      </c>
      <c r="H140" s="27">
        <v>0.38379999999999997</v>
      </c>
      <c r="I140" s="31">
        <f t="shared" si="17"/>
        <v>0.112896</v>
      </c>
      <c r="J140" s="33">
        <f t="shared" si="18"/>
        <v>6.2878744319999997E-3</v>
      </c>
      <c r="K140" s="33">
        <f t="shared" si="19"/>
        <v>2.0121198182399998E-2</v>
      </c>
      <c r="L140" s="27">
        <f t="shared" si="16"/>
        <v>1.2575748863999999E-2</v>
      </c>
      <c r="M140" s="27">
        <f t="shared" si="20"/>
        <v>0.23600035310708048</v>
      </c>
      <c r="N140" s="27">
        <f t="shared" si="21"/>
        <v>0.18042195912175804</v>
      </c>
    </row>
    <row r="141" spans="1:14">
      <c r="A141" s="29" t="s">
        <v>178</v>
      </c>
      <c r="B141" s="29" t="s">
        <v>173</v>
      </c>
      <c r="C141" s="30">
        <v>6.5</v>
      </c>
      <c r="D141" s="31"/>
      <c r="E141" s="31"/>
      <c r="F141" s="31">
        <v>0.625</v>
      </c>
      <c r="G141" s="32">
        <v>6.5000000000000002E-2</v>
      </c>
      <c r="H141" s="27">
        <v>0.495</v>
      </c>
      <c r="I141" s="31">
        <f t="shared" si="17"/>
        <v>0.14560000000000001</v>
      </c>
      <c r="J141" s="33">
        <f t="shared" si="18"/>
        <v>7.7125533333333336E-3</v>
      </c>
      <c r="K141" s="33">
        <f t="shared" si="19"/>
        <v>2.4680170666666668E-2</v>
      </c>
      <c r="L141" s="27">
        <f t="shared" si="16"/>
        <v>1.5425106666666667E-2</v>
      </c>
      <c r="M141" s="27">
        <f t="shared" si="20"/>
        <v>0.23015393399490988</v>
      </c>
      <c r="N141" s="27">
        <f>(F141/SQRT(2))/SQRT(6)</f>
        <v>0.18042195912175804</v>
      </c>
    </row>
    <row r="142" spans="1:14">
      <c r="A142" s="29" t="s">
        <v>179</v>
      </c>
      <c r="B142" s="29" t="s">
        <v>173</v>
      </c>
      <c r="C142" s="30">
        <v>6.28</v>
      </c>
      <c r="D142" s="31"/>
      <c r="E142" s="31"/>
      <c r="F142" s="31">
        <v>0.75</v>
      </c>
      <c r="G142" s="32">
        <v>3.5000000000000003E-2</v>
      </c>
      <c r="H142" s="27">
        <v>0.34029999999999999</v>
      </c>
      <c r="I142" s="31">
        <f t="shared" si="17"/>
        <v>0.10010000000000008</v>
      </c>
      <c r="J142" s="33">
        <f t="shared" si="18"/>
        <v>8.549374166666672E-3</v>
      </c>
      <c r="K142" s="33">
        <f t="shared" si="19"/>
        <v>2.2798331111111125E-2</v>
      </c>
      <c r="L142" s="27">
        <f t="shared" si="16"/>
        <v>1.7098748333333344E-2</v>
      </c>
      <c r="M142" s="27">
        <f t="shared" si="20"/>
        <v>0.29224704161605009</v>
      </c>
      <c r="N142" s="27">
        <f t="shared" si="21"/>
        <v>0.21650635094610965</v>
      </c>
    </row>
    <row r="143" spans="1:14">
      <c r="A143" s="29" t="s">
        <v>180</v>
      </c>
      <c r="B143" s="29" t="s">
        <v>173</v>
      </c>
      <c r="C143" s="30">
        <v>9.1199999999999992</v>
      </c>
      <c r="D143" s="31"/>
      <c r="E143" s="31"/>
      <c r="F143" s="31">
        <v>0.75</v>
      </c>
      <c r="G143" s="32">
        <v>4.9000000000000002E-2</v>
      </c>
      <c r="H143" s="27">
        <v>0.46710000000000002</v>
      </c>
      <c r="I143" s="31">
        <f t="shared" si="17"/>
        <v>0.13739599999999996</v>
      </c>
      <c r="J143" s="33">
        <f t="shared" si="18"/>
        <v>1.1307736598666664E-2</v>
      </c>
      <c r="K143" s="33">
        <f t="shared" si="19"/>
        <v>3.0153964263111104E-2</v>
      </c>
      <c r="L143" s="27">
        <f t="shared" si="16"/>
        <v>2.2615473197333327E-2</v>
      </c>
      <c r="M143" s="27">
        <f t="shared" si="20"/>
        <v>0.28688034671851143</v>
      </c>
      <c r="N143" s="27">
        <f t="shared" si="21"/>
        <v>0.21650635094610965</v>
      </c>
    </row>
    <row r="144" spans="1:14">
      <c r="A144" s="29" t="s">
        <v>181</v>
      </c>
      <c r="B144" s="29" t="s">
        <v>173</v>
      </c>
      <c r="C144" s="30">
        <v>8.82</v>
      </c>
      <c r="D144" s="31"/>
      <c r="E144" s="31"/>
      <c r="F144" s="31">
        <v>0.75</v>
      </c>
      <c r="G144" s="32">
        <v>5.8000000000000003E-2</v>
      </c>
      <c r="H144" s="27">
        <v>0.5454</v>
      </c>
      <c r="I144" s="31">
        <f t="shared" si="17"/>
        <v>0.16054399999999996</v>
      </c>
      <c r="J144" s="33">
        <f t="shared" si="18"/>
        <v>1.2903135338666665E-2</v>
      </c>
      <c r="K144" s="33">
        <f t="shared" si="19"/>
        <v>3.4408360903111106E-2</v>
      </c>
      <c r="L144" s="27">
        <f t="shared" si="16"/>
        <v>2.5806270677333331E-2</v>
      </c>
      <c r="M144" s="27">
        <f t="shared" si="20"/>
        <v>0.28349838329932914</v>
      </c>
      <c r="N144" s="27">
        <f t="shared" si="21"/>
        <v>0.21650635094610965</v>
      </c>
    </row>
    <row r="145" spans="1:14">
      <c r="A145" s="29" t="s">
        <v>182</v>
      </c>
      <c r="B145" s="29" t="s">
        <v>173</v>
      </c>
      <c r="C145" s="30">
        <v>9.5500000000000007</v>
      </c>
      <c r="D145" s="31"/>
      <c r="E145" s="31"/>
      <c r="F145" s="31">
        <v>0.75</v>
      </c>
      <c r="G145" s="32">
        <v>6.5000000000000002E-2</v>
      </c>
      <c r="H145" s="27">
        <v>0.60550000000000004</v>
      </c>
      <c r="I145" s="31">
        <f t="shared" si="17"/>
        <v>0.17809999999999998</v>
      </c>
      <c r="J145" s="33">
        <f t="shared" si="18"/>
        <v>1.4053574166666666E-2</v>
      </c>
      <c r="K145" s="33">
        <f t="shared" si="19"/>
        <v>3.7476197777777775E-2</v>
      </c>
      <c r="L145" s="27">
        <f t="shared" si="16"/>
        <v>2.8107148333333332E-2</v>
      </c>
      <c r="M145" s="27">
        <f t="shared" si="20"/>
        <v>0.28090627143823849</v>
      </c>
      <c r="N145" s="27">
        <f t="shared" si="21"/>
        <v>0.21650635094610965</v>
      </c>
    </row>
    <row r="146" spans="1:14">
      <c r="A146" s="29" t="s">
        <v>251</v>
      </c>
      <c r="B146" s="29" t="s">
        <v>173</v>
      </c>
      <c r="C146" s="30">
        <v>8.18</v>
      </c>
      <c r="D146" s="31"/>
      <c r="E146" s="31"/>
      <c r="F146" s="31">
        <v>0.875</v>
      </c>
      <c r="G146" s="32">
        <v>3.5000000000000003E-2</v>
      </c>
      <c r="H146" s="34" t="s">
        <v>243</v>
      </c>
      <c r="I146" s="31">
        <f t="shared" si="17"/>
        <v>0.11760000000000015</v>
      </c>
      <c r="J146" s="33">
        <f t="shared" si="18"/>
        <v>1.3853770000000015E-2</v>
      </c>
      <c r="K146" s="33">
        <f t="shared" si="19"/>
        <v>3.1665760000000036E-2</v>
      </c>
      <c r="L146" s="27">
        <f t="shared" si="16"/>
        <v>2.770754000000003E-2</v>
      </c>
      <c r="M146" s="27">
        <f t="shared" si="20"/>
        <v>0.3432261159449651</v>
      </c>
      <c r="N146" s="27">
        <f t="shared" si="21"/>
        <v>0.25259074277046129</v>
      </c>
    </row>
    <row r="147" spans="1:14">
      <c r="A147" s="29" t="s">
        <v>183</v>
      </c>
      <c r="B147" s="29" t="s">
        <v>173</v>
      </c>
      <c r="C147" s="30">
        <v>5.46</v>
      </c>
      <c r="D147" s="31"/>
      <c r="E147" s="31"/>
      <c r="F147" s="31">
        <v>0.875</v>
      </c>
      <c r="G147" s="32">
        <v>4.9000000000000002E-2</v>
      </c>
      <c r="H147" s="27">
        <v>0.5504</v>
      </c>
      <c r="I147" s="31">
        <f t="shared" si="17"/>
        <v>0.16189599999999993</v>
      </c>
      <c r="J147" s="33">
        <f t="shared" si="18"/>
        <v>1.8474411265333324E-2</v>
      </c>
      <c r="K147" s="33">
        <f t="shared" si="19"/>
        <v>4.2227225749333311E-2</v>
      </c>
      <c r="L147" s="27">
        <f t="shared" si="16"/>
        <v>3.6948822530666649E-2</v>
      </c>
      <c r="M147" s="27">
        <f t="shared" si="20"/>
        <v>0.33780591074363003</v>
      </c>
      <c r="N147" s="27">
        <f t="shared" si="21"/>
        <v>0.25259074277046129</v>
      </c>
    </row>
    <row r="148" spans="1:14">
      <c r="A148" s="29" t="s">
        <v>184</v>
      </c>
      <c r="B148" s="29" t="s">
        <v>173</v>
      </c>
      <c r="C148" s="30">
        <v>6.36</v>
      </c>
      <c r="D148" s="31"/>
      <c r="E148" s="31"/>
      <c r="F148" s="31">
        <v>0.875</v>
      </c>
      <c r="G148" s="32">
        <v>6.5000000000000002E-2</v>
      </c>
      <c r="H148" s="34" t="s">
        <v>243</v>
      </c>
      <c r="I148" s="31">
        <f t="shared" si="17"/>
        <v>0.21060000000000001</v>
      </c>
      <c r="J148" s="33">
        <f t="shared" si="18"/>
        <v>2.31774075E-2</v>
      </c>
      <c r="K148" s="33">
        <f t="shared" si="19"/>
        <v>5.2976931428571426E-2</v>
      </c>
      <c r="L148" s="27">
        <f t="shared" si="16"/>
        <v>4.6354815000000001E-2</v>
      </c>
      <c r="M148" s="27">
        <f t="shared" si="20"/>
        <v>0.33174412830774663</v>
      </c>
      <c r="N148" s="27">
        <f t="shared" si="21"/>
        <v>0.25259074277046129</v>
      </c>
    </row>
    <row r="149" spans="1:14">
      <c r="A149" s="29" t="s">
        <v>185</v>
      </c>
      <c r="B149" s="29" t="s">
        <v>173</v>
      </c>
      <c r="C149" s="30">
        <v>8.26</v>
      </c>
      <c r="D149" s="31"/>
      <c r="E149" s="31"/>
      <c r="F149" s="31">
        <v>1</v>
      </c>
      <c r="G149" s="32">
        <v>3.5000000000000003E-2</v>
      </c>
      <c r="H149" s="27">
        <v>0.45929999999999999</v>
      </c>
      <c r="I149" s="31">
        <f t="shared" si="17"/>
        <v>0.13510000000000011</v>
      </c>
      <c r="J149" s="33">
        <f t="shared" si="18"/>
        <v>2.0995665833333354E-2</v>
      </c>
      <c r="K149" s="33">
        <f t="shared" si="19"/>
        <v>4.1991331666666708E-2</v>
      </c>
      <c r="L149" s="27">
        <f t="shared" si="16"/>
        <v>4.1991331666666708E-2</v>
      </c>
      <c r="M149" s="27">
        <f t="shared" si="20"/>
        <v>0.39421863646120708</v>
      </c>
      <c r="N149" s="27">
        <f t="shared" si="21"/>
        <v>0.28867513459481287</v>
      </c>
    </row>
    <row r="150" spans="1:14">
      <c r="A150" s="29" t="s">
        <v>186</v>
      </c>
      <c r="B150" s="29" t="s">
        <v>173</v>
      </c>
      <c r="C150" s="30">
        <v>5.2</v>
      </c>
      <c r="D150" s="31"/>
      <c r="E150" s="31"/>
      <c r="F150" s="31">
        <v>1</v>
      </c>
      <c r="G150" s="32">
        <v>4.9000000000000002E-2</v>
      </c>
      <c r="H150" s="27">
        <v>0.63370000000000004</v>
      </c>
      <c r="I150" s="31">
        <f t="shared" si="17"/>
        <v>0.18639600000000001</v>
      </c>
      <c r="J150" s="33">
        <f t="shared" si="18"/>
        <v>2.8170710932000003E-2</v>
      </c>
      <c r="K150" s="33">
        <f t="shared" si="19"/>
        <v>5.6341421864000006E-2</v>
      </c>
      <c r="L150" s="27">
        <f t="shared" si="16"/>
        <v>5.6341421864000006E-2</v>
      </c>
      <c r="M150" s="27">
        <f t="shared" si="20"/>
        <v>0.38875913708447635</v>
      </c>
      <c r="N150" s="27">
        <f t="shared" si="21"/>
        <v>0.28867513459481287</v>
      </c>
    </row>
    <row r="151" spans="1:14">
      <c r="A151" s="29" t="s">
        <v>252</v>
      </c>
      <c r="B151" s="29" t="s">
        <v>173</v>
      </c>
      <c r="C151" s="30">
        <v>9.6199999999999992</v>
      </c>
      <c r="D151" s="31"/>
      <c r="E151" s="31"/>
      <c r="F151" s="31">
        <v>1</v>
      </c>
      <c r="G151" s="32">
        <v>5.8000000000000003E-2</v>
      </c>
      <c r="H151" s="34" t="s">
        <v>243</v>
      </c>
      <c r="I151" s="31">
        <f t="shared" si="17"/>
        <v>0.21854399999999996</v>
      </c>
      <c r="J151" s="33">
        <f t="shared" si="18"/>
        <v>3.2443876671999994E-2</v>
      </c>
      <c r="K151" s="33">
        <f t="shared" si="19"/>
        <v>6.4887753343999988E-2</v>
      </c>
      <c r="L151" s="27">
        <f t="shared" si="16"/>
        <v>6.4887753343999988E-2</v>
      </c>
      <c r="M151" s="27">
        <f t="shared" si="20"/>
        <v>0.3852981529499806</v>
      </c>
      <c r="N151" s="27">
        <f t="shared" si="21"/>
        <v>0.28867513459481287</v>
      </c>
    </row>
    <row r="152" spans="1:14">
      <c r="A152" s="29" t="s">
        <v>187</v>
      </c>
      <c r="B152" s="29" t="s">
        <v>173</v>
      </c>
      <c r="C152" s="30">
        <v>8.58</v>
      </c>
      <c r="D152" s="31"/>
      <c r="E152" s="31"/>
      <c r="F152" s="31">
        <v>1</v>
      </c>
      <c r="G152" s="32">
        <v>6.5000000000000002E-2</v>
      </c>
      <c r="H152" s="27">
        <v>0.82650000000000001</v>
      </c>
      <c r="I152" s="31">
        <f t="shared" si="17"/>
        <v>0.24309999999999998</v>
      </c>
      <c r="J152" s="33">
        <f t="shared" si="18"/>
        <v>3.5591865833333326E-2</v>
      </c>
      <c r="K152" s="33">
        <f t="shared" si="19"/>
        <v>7.1183731666666653E-2</v>
      </c>
      <c r="L152" s="27">
        <f t="shared" si="16"/>
        <v>7.1183731666666653E-2</v>
      </c>
      <c r="M152" s="27">
        <f t="shared" si="20"/>
        <v>0.38263341899699943</v>
      </c>
      <c r="N152" s="27">
        <f t="shared" si="21"/>
        <v>0.28867513459481287</v>
      </c>
    </row>
    <row r="153" spans="1:14">
      <c r="A153" s="29" t="s">
        <v>253</v>
      </c>
      <c r="B153" s="29" t="s">
        <v>173</v>
      </c>
      <c r="C153" s="30">
        <v>6.33</v>
      </c>
      <c r="D153" s="31"/>
      <c r="E153" s="31"/>
      <c r="F153" s="31">
        <v>1.125</v>
      </c>
      <c r="G153" s="32">
        <v>4.9000000000000002E-2</v>
      </c>
      <c r="H153" s="34" t="s">
        <v>243</v>
      </c>
      <c r="I153" s="31">
        <f t="shared" si="17"/>
        <v>0.21089600000000019</v>
      </c>
      <c r="J153" s="33">
        <f t="shared" si="18"/>
        <v>4.0779448098666703E-2</v>
      </c>
      <c r="K153" s="33">
        <f t="shared" si="19"/>
        <v>7.2496796619851922E-2</v>
      </c>
      <c r="L153" s="27">
        <f t="shared" si="16"/>
        <v>8.1558896197333405E-2</v>
      </c>
      <c r="M153" s="27">
        <f t="shared" si="20"/>
        <v>0.43973040983463185</v>
      </c>
      <c r="N153" s="27">
        <f t="shared" si="21"/>
        <v>0.3247595264191645</v>
      </c>
    </row>
    <row r="154" spans="1:14">
      <c r="A154" s="29" t="s">
        <v>254</v>
      </c>
      <c r="B154" s="29" t="s">
        <v>173</v>
      </c>
      <c r="C154" s="30">
        <v>8.56</v>
      </c>
      <c r="D154" s="31"/>
      <c r="E154" s="31"/>
      <c r="F154" s="31">
        <v>1.125</v>
      </c>
      <c r="G154" s="32">
        <v>5.8000000000000003E-2</v>
      </c>
      <c r="H154" s="34" t="s">
        <v>243</v>
      </c>
      <c r="I154" s="31">
        <f t="shared" si="17"/>
        <v>0.24754400000000021</v>
      </c>
      <c r="J154" s="33">
        <f t="shared" si="18"/>
        <v>4.7109809838666694E-2</v>
      </c>
      <c r="K154" s="33">
        <f t="shared" si="19"/>
        <v>8.3750773046518567E-2</v>
      </c>
      <c r="L154" s="27">
        <f t="shared" si="16"/>
        <v>9.4219619677333388E-2</v>
      </c>
      <c r="M154" s="27">
        <f t="shared" si="20"/>
        <v>0.43624400664459939</v>
      </c>
      <c r="N154" s="27">
        <f t="shared" si="21"/>
        <v>0.3247595264191645</v>
      </c>
    </row>
  </sheetData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4">
    <tabColor theme="0" tint="-0.34998626667073579"/>
  </sheetPr>
  <dimension ref="A1:AA459"/>
  <sheetViews>
    <sheetView workbookViewId="0">
      <selection activeCell="AA16" sqref="AA16"/>
    </sheetView>
  </sheetViews>
  <sheetFormatPr defaultColWidth="9.28515625" defaultRowHeight="15"/>
  <cols>
    <col min="1" max="16" width="9.28515625" style="11"/>
    <col min="17" max="17" width="12" style="11" customWidth="1"/>
    <col min="18" max="16384" width="9.28515625" style="11"/>
  </cols>
  <sheetData>
    <row r="1" spans="1:27">
      <c r="K1" s="61" t="s">
        <v>191</v>
      </c>
      <c r="L1" s="61"/>
      <c r="M1" s="61"/>
      <c r="N1" s="61" t="s">
        <v>192</v>
      </c>
      <c r="O1" s="61"/>
      <c r="P1" s="61"/>
      <c r="Q1" s="11" t="s">
        <v>201</v>
      </c>
    </row>
    <row r="2" spans="1:27">
      <c r="A2" s="11" t="s">
        <v>18</v>
      </c>
      <c r="B2" s="11" t="s">
        <v>19</v>
      </c>
      <c r="C2" s="11" t="s">
        <v>20</v>
      </c>
      <c r="D2" s="11" t="s">
        <v>21</v>
      </c>
      <c r="E2" s="11" t="s">
        <v>19</v>
      </c>
      <c r="F2" s="11" t="s">
        <v>20</v>
      </c>
      <c r="G2" s="11" t="s">
        <v>21</v>
      </c>
      <c r="J2" s="11" t="s">
        <v>18</v>
      </c>
      <c r="K2" s="11" t="s">
        <v>19</v>
      </c>
      <c r="L2" s="11" t="s">
        <v>20</v>
      </c>
      <c r="M2" s="11" t="s">
        <v>21</v>
      </c>
      <c r="N2" s="11" t="s">
        <v>19</v>
      </c>
      <c r="O2" s="11" t="s">
        <v>20</v>
      </c>
      <c r="P2" s="11" t="s">
        <v>21</v>
      </c>
      <c r="Q2" s="11">
        <f>MIN(M:M,P:P)</f>
        <v>-1.4210854715202004E-14</v>
      </c>
      <c r="R2" s="11" t="s">
        <v>189</v>
      </c>
      <c r="S2" s="11" t="s">
        <v>18</v>
      </c>
      <c r="T2" s="11" t="s">
        <v>190</v>
      </c>
      <c r="U2" s="11" t="s">
        <v>7</v>
      </c>
      <c r="V2" s="11" t="s">
        <v>8</v>
      </c>
      <c r="Y2" s="11" t="s">
        <v>9</v>
      </c>
      <c r="Z2" s="11" t="s">
        <v>7</v>
      </c>
      <c r="AA2" s="11" t="s">
        <v>8</v>
      </c>
    </row>
    <row r="3" spans="1:27">
      <c r="A3" s="11">
        <v>1</v>
      </c>
      <c r="B3" s="11">
        <v>23.249999999999972</v>
      </c>
      <c r="C3" s="11">
        <v>18.600000000000041</v>
      </c>
      <c r="D3" s="11">
        <v>-31.999999999999993</v>
      </c>
      <c r="E3" s="11">
        <v>57.749999999999972</v>
      </c>
      <c r="F3" s="11">
        <v>18.600000000000041</v>
      </c>
      <c r="G3" s="11">
        <v>-31.999999999999979</v>
      </c>
      <c r="J3" s="11">
        <v>1</v>
      </c>
      <c r="K3" s="11">
        <f t="shared" ref="K3" si="0">$Y$11*B3+$Z$11*C3+$AA$11*D3</f>
        <v>23.249999999999972</v>
      </c>
      <c r="L3" s="11">
        <f t="shared" ref="L3" si="1">$Y$12*B3+$Z$12*C3+$AA$12*D3</f>
        <v>31.999999999999993</v>
      </c>
      <c r="M3" s="11">
        <f t="shared" ref="M3" si="2">$Y$13*B3+$Z$13*C3+$AA$13*D3</f>
        <v>18.600000000000041</v>
      </c>
      <c r="N3" s="11">
        <f t="shared" ref="N3" si="3">$Y$11*E3+$Z$11*F3+$AA$11*G3</f>
        <v>57.749999999999972</v>
      </c>
      <c r="O3" s="11">
        <f t="shared" ref="O3" si="4">$Y$12*E3+$Z$12*F3+$AA$12*G3</f>
        <v>31.999999999999979</v>
      </c>
      <c r="P3" s="11">
        <f t="shared" ref="P3" si="5">$Y$13*E3+$Z$13*F3+$AA$13*G3</f>
        <v>18.600000000000041</v>
      </c>
      <c r="R3" s="11">
        <v>1</v>
      </c>
      <c r="S3" s="11">
        <v>360</v>
      </c>
      <c r="T3" s="11">
        <v>2</v>
      </c>
      <c r="U3" s="11">
        <v>6</v>
      </c>
      <c r="V3" s="11">
        <v>0</v>
      </c>
      <c r="X3" s="58" t="s">
        <v>10</v>
      </c>
      <c r="Y3" s="11">
        <f>IF('Define Dir'!$C$5="+ X",1,IF('Define Dir'!$C$5="- X",-1,0))</f>
        <v>0</v>
      </c>
      <c r="Z3" s="11">
        <f>IF('Define Dir'!$D$5="+ X",1,IF('Define Dir'!$D$5="- X",-1,0))</f>
        <v>1</v>
      </c>
      <c r="AA3" s="11">
        <f>IF('Define Dir'!$E$5="+ X",1,IF('Define Dir'!$E$5="- X",-1,0))</f>
        <v>0</v>
      </c>
    </row>
    <row r="4" spans="1:27">
      <c r="A4" s="11">
        <v>2</v>
      </c>
      <c r="B4" s="11">
        <v>57.749999999999972</v>
      </c>
      <c r="C4" s="11">
        <v>18.600000000000041</v>
      </c>
      <c r="D4" s="11">
        <v>-31.999999999999979</v>
      </c>
      <c r="E4" s="11">
        <v>92.249999999999972</v>
      </c>
      <c r="F4" s="11">
        <v>18.600000000000041</v>
      </c>
      <c r="G4" s="11">
        <v>-31.999999999999964</v>
      </c>
      <c r="J4" s="11">
        <v>2</v>
      </c>
      <c r="K4" s="11">
        <f t="shared" ref="K4:K67" si="6">$Y$11*B4+$Z$11*C4+$AA$11*D4</f>
        <v>57.749999999999972</v>
      </c>
      <c r="L4" s="11">
        <f t="shared" ref="L4:L67" si="7">$Y$12*B4+$Z$12*C4+$AA$12*D4</f>
        <v>31.999999999999979</v>
      </c>
      <c r="M4" s="11">
        <f t="shared" ref="M4:M67" si="8">$Y$13*B4+$Z$13*C4+$AA$13*D4</f>
        <v>18.600000000000041</v>
      </c>
      <c r="N4" s="11">
        <f t="shared" ref="N4:N67" si="9">$Y$11*E4+$Z$11*F4+$AA$11*G4</f>
        <v>92.249999999999972</v>
      </c>
      <c r="O4" s="11">
        <f t="shared" ref="O4:O67" si="10">$Y$12*E4+$Z$12*F4+$AA$12*G4</f>
        <v>31.999999999999964</v>
      </c>
      <c r="P4" s="11">
        <f t="shared" ref="P4:P67" si="11">$Y$13*E4+$Z$13*F4+$AA$13*G4</f>
        <v>18.600000000000041</v>
      </c>
      <c r="R4" s="11">
        <v>2</v>
      </c>
      <c r="S4" s="11">
        <v>358</v>
      </c>
      <c r="T4" s="11">
        <v>2</v>
      </c>
      <c r="U4" s="11">
        <v>195.75</v>
      </c>
      <c r="V4" s="11">
        <v>0</v>
      </c>
      <c r="X4" s="58" t="s">
        <v>328</v>
      </c>
      <c r="Y4" s="11">
        <f>IF('Define Dir'!$C$5="+ Y",1,IF('Define Dir'!$C$5="- Y",-1,0))</f>
        <v>1</v>
      </c>
      <c r="Z4" s="11">
        <f>IF('Define Dir'!$D$5="+ Y",1,IF('Define Dir'!$D$5="- Y",-1,0))</f>
        <v>0</v>
      </c>
      <c r="AA4" s="11">
        <f>IF('Define Dir'!$E$5="+ Y",1,IF('Define Dir'!$E$5="- Y",-1,0))</f>
        <v>0</v>
      </c>
    </row>
    <row r="5" spans="1:27">
      <c r="A5" s="11">
        <v>3</v>
      </c>
      <c r="B5" s="11">
        <v>92.249999999999943</v>
      </c>
      <c r="C5" s="11">
        <v>18.600000000000026</v>
      </c>
      <c r="D5" s="11">
        <v>-31.999999999999979</v>
      </c>
      <c r="E5" s="11">
        <v>126.74999999999994</v>
      </c>
      <c r="F5" s="11">
        <v>18.600000000000026</v>
      </c>
      <c r="G5" s="11">
        <v>-31.999999999999964</v>
      </c>
      <c r="J5" s="11">
        <v>3</v>
      </c>
      <c r="K5" s="11">
        <f t="shared" si="6"/>
        <v>92.249999999999943</v>
      </c>
      <c r="L5" s="11">
        <f t="shared" si="7"/>
        <v>31.999999999999979</v>
      </c>
      <c r="M5" s="11">
        <f t="shared" si="8"/>
        <v>18.600000000000026</v>
      </c>
      <c r="N5" s="11">
        <f t="shared" si="9"/>
        <v>126.74999999999994</v>
      </c>
      <c r="O5" s="11">
        <f t="shared" si="10"/>
        <v>31.999999999999964</v>
      </c>
      <c r="P5" s="11">
        <f t="shared" si="11"/>
        <v>18.600000000000026</v>
      </c>
      <c r="R5" s="11">
        <v>3</v>
      </c>
      <c r="S5" s="11">
        <v>357</v>
      </c>
      <c r="T5" s="11">
        <v>2</v>
      </c>
      <c r="U5" s="11">
        <v>195.75</v>
      </c>
      <c r="V5" s="11">
        <v>32</v>
      </c>
      <c r="X5" s="58" t="s">
        <v>329</v>
      </c>
      <c r="Y5" s="11">
        <f>IF('Define Dir'!$C$5="+ Z",1,IF('Define Dir'!$C$5="- Z",-1,0))</f>
        <v>0</v>
      </c>
      <c r="Z5" s="11">
        <f>IF('Define Dir'!$D$5="+ Z",1,IF('Define Dir'!$D$5="- Z",-1,0))</f>
        <v>0</v>
      </c>
      <c r="AA5" s="11">
        <f>IF('Define Dir'!$E$5="+ Z",1,IF('Define Dir'!$E$5="- Z",-1,0))</f>
        <v>-1</v>
      </c>
    </row>
    <row r="6" spans="1:27">
      <c r="A6" s="11">
        <v>4</v>
      </c>
      <c r="B6" s="11">
        <v>126.74999999999997</v>
      </c>
      <c r="C6" s="11">
        <v>18.600000000000026</v>
      </c>
      <c r="D6" s="11">
        <v>-31.999999999999964</v>
      </c>
      <c r="E6" s="11">
        <v>161.24999999999997</v>
      </c>
      <c r="F6" s="11">
        <v>18.600000000000026</v>
      </c>
      <c r="G6" s="11">
        <v>-31.99999999999995</v>
      </c>
      <c r="J6" s="11">
        <v>4</v>
      </c>
      <c r="K6" s="11">
        <f t="shared" si="6"/>
        <v>126.74999999999997</v>
      </c>
      <c r="L6" s="11">
        <f t="shared" si="7"/>
        <v>31.999999999999964</v>
      </c>
      <c r="M6" s="11">
        <f t="shared" si="8"/>
        <v>18.600000000000026</v>
      </c>
      <c r="N6" s="11">
        <f t="shared" si="9"/>
        <v>161.24999999999997</v>
      </c>
      <c r="O6" s="11">
        <f t="shared" si="10"/>
        <v>31.99999999999995</v>
      </c>
      <c r="P6" s="11">
        <f t="shared" si="11"/>
        <v>18.600000000000026</v>
      </c>
      <c r="R6" s="11">
        <v>4</v>
      </c>
      <c r="S6" s="11">
        <v>359</v>
      </c>
      <c r="T6" s="11">
        <v>2</v>
      </c>
      <c r="U6" s="11">
        <v>6</v>
      </c>
      <c r="V6" s="11">
        <v>32</v>
      </c>
      <c r="Y6" s="11" t="s">
        <v>9</v>
      </c>
      <c r="Z6" s="11" t="s">
        <v>7</v>
      </c>
      <c r="AA6" s="11" t="s">
        <v>8</v>
      </c>
    </row>
    <row r="7" spans="1:27">
      <c r="A7" s="11">
        <v>5</v>
      </c>
      <c r="B7" s="11">
        <v>161.24999999999997</v>
      </c>
      <c r="C7" s="11">
        <v>18.600000000000026</v>
      </c>
      <c r="D7" s="11">
        <v>-31.999999999999964</v>
      </c>
      <c r="E7" s="11">
        <v>195.74999999999997</v>
      </c>
      <c r="F7" s="11">
        <v>18.600000000000026</v>
      </c>
      <c r="G7" s="11">
        <v>-31.99999999999995</v>
      </c>
      <c r="J7" s="11">
        <v>5</v>
      </c>
      <c r="K7" s="11">
        <f t="shared" si="6"/>
        <v>161.24999999999997</v>
      </c>
      <c r="L7" s="11">
        <f t="shared" si="7"/>
        <v>31.999999999999964</v>
      </c>
      <c r="M7" s="11">
        <f t="shared" si="8"/>
        <v>18.600000000000026</v>
      </c>
      <c r="N7" s="11">
        <f t="shared" si="9"/>
        <v>195.74999999999997</v>
      </c>
      <c r="O7" s="11">
        <f t="shared" si="10"/>
        <v>31.99999999999995</v>
      </c>
      <c r="P7" s="11">
        <f t="shared" si="11"/>
        <v>18.600000000000026</v>
      </c>
      <c r="X7" s="58" t="s">
        <v>11</v>
      </c>
      <c r="Y7" s="11">
        <f>IF('Define Dir'!$C$6="+ X",1,IF('Define Dir'!$C$6="- X",-1,0))</f>
        <v>0</v>
      </c>
      <c r="Z7" s="11">
        <f>IF('Define Dir'!$D$6="+ X",1,IF('Define Dir'!$D$6="- X",-1,0))</f>
        <v>1</v>
      </c>
      <c r="AA7" s="11">
        <f>IF('Define Dir'!$E$6="+ X",1,IF('Define Dir'!$E$6="- X",-1,0))</f>
        <v>0</v>
      </c>
    </row>
    <row r="8" spans="1:27">
      <c r="A8" s="11">
        <v>6</v>
      </c>
      <c r="B8" s="11">
        <v>195.75000000000006</v>
      </c>
      <c r="C8" s="11">
        <v>18.599999999999966</v>
      </c>
      <c r="D8" s="11">
        <v>-31.99999999999995</v>
      </c>
      <c r="E8" s="11">
        <v>230.25000000000006</v>
      </c>
      <c r="F8" s="11">
        <v>18.599999999999966</v>
      </c>
      <c r="G8" s="11">
        <v>-31.999999999999936</v>
      </c>
      <c r="J8" s="11">
        <v>6</v>
      </c>
      <c r="K8" s="11">
        <f t="shared" si="6"/>
        <v>195.75000000000006</v>
      </c>
      <c r="L8" s="11">
        <f t="shared" si="7"/>
        <v>31.99999999999995</v>
      </c>
      <c r="M8" s="11">
        <f t="shared" si="8"/>
        <v>18.599999999999966</v>
      </c>
      <c r="N8" s="11">
        <f t="shared" si="9"/>
        <v>230.25000000000006</v>
      </c>
      <c r="O8" s="11">
        <f t="shared" si="10"/>
        <v>31.999999999999936</v>
      </c>
      <c r="P8" s="11">
        <f t="shared" si="11"/>
        <v>18.599999999999966</v>
      </c>
      <c r="X8" s="58" t="s">
        <v>328</v>
      </c>
      <c r="Y8" s="11">
        <f>IF('Define Dir'!$C$6="+ Y",1,IF('Define Dir'!$C$6="- Y",-1,0))</f>
        <v>0</v>
      </c>
      <c r="Z8" s="11">
        <f>IF('Define Dir'!$D$6="+ Y",1,IF('Define Dir'!$D$6="- Y",-1,0))</f>
        <v>0</v>
      </c>
      <c r="AA8" s="11">
        <f>IF('Define Dir'!$E$6="+ Y",1,IF('Define Dir'!$E$6="- Y",-1,0))</f>
        <v>1</v>
      </c>
    </row>
    <row r="9" spans="1:27">
      <c r="A9" s="11">
        <v>7</v>
      </c>
      <c r="B9" s="11">
        <v>195.75000000000003</v>
      </c>
      <c r="C9" s="11">
        <v>18.599999999999998</v>
      </c>
      <c r="D9" s="11">
        <v>4.2632564145606011E-14</v>
      </c>
      <c r="E9" s="11">
        <v>230.25000000000003</v>
      </c>
      <c r="F9" s="11">
        <v>18.599999999999998</v>
      </c>
      <c r="G9" s="11">
        <v>5.6843418860808015E-14</v>
      </c>
      <c r="J9" s="11">
        <v>7</v>
      </c>
      <c r="K9" s="11">
        <f t="shared" si="6"/>
        <v>195.75000000000003</v>
      </c>
      <c r="L9" s="11">
        <f t="shared" si="7"/>
        <v>-4.2632564145606011E-14</v>
      </c>
      <c r="M9" s="11">
        <f t="shared" si="8"/>
        <v>18.599999999999998</v>
      </c>
      <c r="N9" s="11">
        <f t="shared" si="9"/>
        <v>230.25000000000003</v>
      </c>
      <c r="O9" s="11">
        <f t="shared" si="10"/>
        <v>-5.6843418860808015E-14</v>
      </c>
      <c r="P9" s="11">
        <f t="shared" si="11"/>
        <v>18.599999999999998</v>
      </c>
      <c r="X9" s="58" t="s">
        <v>329</v>
      </c>
      <c r="Y9" s="11">
        <f>IF('Define Dir'!$C$6="+ Z",1,IF('Define Dir'!$C$6="- Z",-1,0))</f>
        <v>1</v>
      </c>
      <c r="Z9" s="11">
        <f>IF('Define Dir'!$D$6="+ Z",1,IF('Define Dir'!$D$6="- Z",-1,0))</f>
        <v>0</v>
      </c>
      <c r="AA9" s="11">
        <f>IF('Define Dir'!$E$6="+ Z",1,IF('Define Dir'!$E$6="- Z",-1,0))</f>
        <v>0</v>
      </c>
    </row>
    <row r="10" spans="1:27">
      <c r="A10" s="11">
        <v>8</v>
      </c>
      <c r="B10" s="11">
        <v>161.25000000000003</v>
      </c>
      <c r="C10" s="11">
        <v>18.600000000000012</v>
      </c>
      <c r="D10" s="11">
        <v>4.2632564145606011E-14</v>
      </c>
      <c r="E10" s="11">
        <v>195.75000000000003</v>
      </c>
      <c r="F10" s="11">
        <v>18.600000000000012</v>
      </c>
      <c r="G10" s="11">
        <v>5.6843418860808015E-14</v>
      </c>
      <c r="J10" s="11">
        <v>8</v>
      </c>
      <c r="K10" s="11">
        <f t="shared" si="6"/>
        <v>161.25000000000003</v>
      </c>
      <c r="L10" s="11">
        <f t="shared" si="7"/>
        <v>-4.2632564145606011E-14</v>
      </c>
      <c r="M10" s="11">
        <f t="shared" si="8"/>
        <v>18.600000000000012</v>
      </c>
      <c r="N10" s="11">
        <f t="shared" si="9"/>
        <v>195.75000000000003</v>
      </c>
      <c r="O10" s="11">
        <f t="shared" si="10"/>
        <v>-5.6843418860808015E-14</v>
      </c>
      <c r="P10" s="11">
        <f t="shared" si="11"/>
        <v>18.600000000000012</v>
      </c>
      <c r="Y10" s="11" t="s">
        <v>330</v>
      </c>
    </row>
    <row r="11" spans="1:27">
      <c r="A11" s="11">
        <v>9</v>
      </c>
      <c r="B11" s="11">
        <v>126.75000000000003</v>
      </c>
      <c r="C11" s="11">
        <v>18.600000000000012</v>
      </c>
      <c r="D11" s="11">
        <v>2.8421709430404007E-14</v>
      </c>
      <c r="E11" s="11">
        <v>161.25000000000003</v>
      </c>
      <c r="F11" s="11">
        <v>18.600000000000012</v>
      </c>
      <c r="G11" s="11">
        <v>4.2632564145606011E-14</v>
      </c>
      <c r="J11" s="11">
        <v>9</v>
      </c>
      <c r="K11" s="11">
        <f t="shared" si="6"/>
        <v>126.75000000000003</v>
      </c>
      <c r="L11" s="11">
        <f t="shared" si="7"/>
        <v>-2.8421709430404007E-14</v>
      </c>
      <c r="M11" s="11">
        <f t="shared" si="8"/>
        <v>18.600000000000012</v>
      </c>
      <c r="N11" s="11">
        <f t="shared" si="9"/>
        <v>161.25000000000003</v>
      </c>
      <c r="O11" s="11">
        <f t="shared" si="10"/>
        <v>-4.2632564145606011E-14</v>
      </c>
      <c r="P11" s="11">
        <f t="shared" si="11"/>
        <v>18.600000000000012</v>
      </c>
      <c r="Y11" s="11">
        <f>Y3*Y7+Y4*Z7+Y5*AA7</f>
        <v>1</v>
      </c>
      <c r="Z11" s="11">
        <f>Z3*Y7+Z4*Z7+Z5*AA7</f>
        <v>0</v>
      </c>
      <c r="AA11" s="11">
        <f>AA3*Y7+AA4*Z7+AA5*AA7</f>
        <v>0</v>
      </c>
    </row>
    <row r="12" spans="1:27">
      <c r="A12" s="11">
        <v>10</v>
      </c>
      <c r="B12" s="11">
        <v>92.250000000000014</v>
      </c>
      <c r="C12" s="11">
        <v>18.600000000000012</v>
      </c>
      <c r="D12" s="11">
        <v>1.4210854715202004E-14</v>
      </c>
      <c r="E12" s="11">
        <v>126.75000000000001</v>
      </c>
      <c r="F12" s="11">
        <v>18.600000000000012</v>
      </c>
      <c r="G12" s="11">
        <v>2.8421709430404007E-14</v>
      </c>
      <c r="J12" s="11">
        <v>10</v>
      </c>
      <c r="K12" s="11">
        <f t="shared" si="6"/>
        <v>92.250000000000014</v>
      </c>
      <c r="L12" s="11">
        <f t="shared" si="7"/>
        <v>-1.4210854715202004E-14</v>
      </c>
      <c r="M12" s="11">
        <f t="shared" si="8"/>
        <v>18.600000000000012</v>
      </c>
      <c r="N12" s="11">
        <f t="shared" si="9"/>
        <v>126.75000000000001</v>
      </c>
      <c r="O12" s="11">
        <f t="shared" si="10"/>
        <v>-2.8421709430404007E-14</v>
      </c>
      <c r="P12" s="11">
        <f t="shared" si="11"/>
        <v>18.600000000000012</v>
      </c>
      <c r="Y12" s="11">
        <f>Y3*Y8+Y4*Z8+Y5*AA8</f>
        <v>0</v>
      </c>
      <c r="Z12" s="11">
        <f>Z3*Y8+Z4*Z8+Z5*AA8</f>
        <v>0</v>
      </c>
      <c r="AA12" s="11">
        <f>AA3*Y8+AA4*Z8+AA5*AA8</f>
        <v>-1</v>
      </c>
    </row>
    <row r="13" spans="1:27">
      <c r="A13" s="11">
        <v>11</v>
      </c>
      <c r="B13" s="11">
        <v>57.750000000000028</v>
      </c>
      <c r="C13" s="11">
        <v>18.600000000000026</v>
      </c>
      <c r="D13" s="11">
        <v>1.4210854715202004E-14</v>
      </c>
      <c r="E13" s="11">
        <v>92.250000000000028</v>
      </c>
      <c r="F13" s="11">
        <v>18.600000000000026</v>
      </c>
      <c r="G13" s="11">
        <v>2.8421709430404007E-14</v>
      </c>
      <c r="J13" s="11">
        <v>11</v>
      </c>
      <c r="K13" s="11">
        <f t="shared" si="6"/>
        <v>57.750000000000028</v>
      </c>
      <c r="L13" s="11">
        <f t="shared" si="7"/>
        <v>-1.4210854715202004E-14</v>
      </c>
      <c r="M13" s="11">
        <f t="shared" si="8"/>
        <v>18.600000000000026</v>
      </c>
      <c r="N13" s="11">
        <f t="shared" si="9"/>
        <v>92.250000000000028</v>
      </c>
      <c r="O13" s="11">
        <f t="shared" si="10"/>
        <v>-2.8421709430404007E-14</v>
      </c>
      <c r="P13" s="11">
        <f t="shared" si="11"/>
        <v>18.600000000000026</v>
      </c>
      <c r="Y13" s="11">
        <f>Y9*Y3+Z9*Y4+AA9*Y5</f>
        <v>0</v>
      </c>
      <c r="Z13" s="11">
        <f>Z3*Y9+Z4*Z9+Z5*AA9</f>
        <v>1</v>
      </c>
      <c r="AA13" s="11">
        <f>AA3*Y9+AA4*Z9+AA5*AA9</f>
        <v>0</v>
      </c>
    </row>
    <row r="14" spans="1:27">
      <c r="A14" s="11">
        <v>12</v>
      </c>
      <c r="B14" s="11">
        <v>23.250000000000032</v>
      </c>
      <c r="C14" s="11">
        <v>18.600000000000026</v>
      </c>
      <c r="D14" s="11">
        <v>0</v>
      </c>
      <c r="E14" s="11">
        <v>57.750000000000028</v>
      </c>
      <c r="F14" s="11">
        <v>18.600000000000026</v>
      </c>
      <c r="G14" s="11">
        <v>1.4210854715202004E-14</v>
      </c>
      <c r="J14" s="11">
        <v>12</v>
      </c>
      <c r="K14" s="11">
        <f t="shared" si="6"/>
        <v>23.250000000000032</v>
      </c>
      <c r="L14" s="11">
        <f t="shared" si="7"/>
        <v>0</v>
      </c>
      <c r="M14" s="11">
        <f t="shared" si="8"/>
        <v>18.600000000000026</v>
      </c>
      <c r="N14" s="11">
        <f t="shared" si="9"/>
        <v>57.750000000000028</v>
      </c>
      <c r="O14" s="11">
        <f t="shared" si="10"/>
        <v>-1.4210854715202004E-14</v>
      </c>
      <c r="P14" s="11">
        <f t="shared" si="11"/>
        <v>18.600000000000026</v>
      </c>
    </row>
    <row r="15" spans="1:27">
      <c r="A15" s="11">
        <v>13</v>
      </c>
      <c r="B15" s="11">
        <v>230.25000000000026</v>
      </c>
      <c r="C15" s="11">
        <v>29.787500000000012</v>
      </c>
      <c r="D15" s="11">
        <v>-1.0977885267493548E-12</v>
      </c>
      <c r="E15" s="11">
        <v>230.25000000000034</v>
      </c>
      <c r="F15" s="11">
        <v>25.592187500000186</v>
      </c>
      <c r="G15" s="11">
        <v>2.422164801208794</v>
      </c>
      <c r="J15" s="11">
        <v>13</v>
      </c>
      <c r="K15" s="11">
        <f t="shared" si="6"/>
        <v>230.25000000000026</v>
      </c>
      <c r="L15" s="11">
        <f t="shared" si="7"/>
        <v>1.0977885267493548E-12</v>
      </c>
      <c r="M15" s="11">
        <f t="shared" si="8"/>
        <v>29.787500000000012</v>
      </c>
      <c r="N15" s="11">
        <f t="shared" si="9"/>
        <v>230.25000000000034</v>
      </c>
      <c r="O15" s="11">
        <f t="shared" si="10"/>
        <v>-2.422164801208794</v>
      </c>
      <c r="P15" s="11">
        <f t="shared" si="11"/>
        <v>25.592187500000186</v>
      </c>
    </row>
    <row r="16" spans="1:27">
      <c r="A16" s="11">
        <v>14</v>
      </c>
      <c r="B16" s="11">
        <v>230.24999999999989</v>
      </c>
      <c r="C16" s="11">
        <v>25.592187500000261</v>
      </c>
      <c r="D16" s="11">
        <v>2.4221648012089219</v>
      </c>
      <c r="E16" s="11">
        <v>221.62500000000028</v>
      </c>
      <c r="F16" s="11">
        <v>29.787500000000161</v>
      </c>
      <c r="G16" s="11">
        <v>-1.2398970739013748E-12</v>
      </c>
      <c r="J16" s="11">
        <v>14</v>
      </c>
      <c r="K16" s="11">
        <f t="shared" si="6"/>
        <v>230.24999999999989</v>
      </c>
      <c r="L16" s="11">
        <f t="shared" si="7"/>
        <v>-2.4221648012089219</v>
      </c>
      <c r="M16" s="11">
        <f t="shared" si="8"/>
        <v>25.592187500000261</v>
      </c>
      <c r="N16" s="11">
        <f t="shared" si="9"/>
        <v>221.62500000000028</v>
      </c>
      <c r="O16" s="11">
        <f t="shared" si="10"/>
        <v>1.2398970739013748E-12</v>
      </c>
      <c r="P16" s="11">
        <f t="shared" si="11"/>
        <v>29.787500000000161</v>
      </c>
    </row>
    <row r="17" spans="1:16">
      <c r="A17" s="11">
        <v>15</v>
      </c>
      <c r="B17" s="11">
        <v>238.87500000000028</v>
      </c>
      <c r="C17" s="11">
        <v>29.787500000000161</v>
      </c>
      <c r="D17" s="11">
        <v>4.5474735088646412E-13</v>
      </c>
      <c r="E17" s="11">
        <v>230.24999999999989</v>
      </c>
      <c r="F17" s="11">
        <v>25.592187500000261</v>
      </c>
      <c r="G17" s="11">
        <v>2.4221648012089219</v>
      </c>
      <c r="J17" s="11">
        <v>15</v>
      </c>
      <c r="K17" s="11">
        <f t="shared" si="6"/>
        <v>238.87500000000028</v>
      </c>
      <c r="L17" s="11">
        <f t="shared" si="7"/>
        <v>-4.5474735088646412E-13</v>
      </c>
      <c r="M17" s="11">
        <f t="shared" si="8"/>
        <v>29.787500000000161</v>
      </c>
      <c r="N17" s="11">
        <f t="shared" si="9"/>
        <v>230.24999999999989</v>
      </c>
      <c r="O17" s="11">
        <f t="shared" si="10"/>
        <v>-2.4221648012089219</v>
      </c>
      <c r="P17" s="11">
        <f t="shared" si="11"/>
        <v>25.592187500000261</v>
      </c>
    </row>
    <row r="18" spans="1:16">
      <c r="A18" s="11">
        <v>16</v>
      </c>
      <c r="B18" s="11">
        <v>230.25000000000034</v>
      </c>
      <c r="C18" s="11">
        <v>25.592187500000186</v>
      </c>
      <c r="D18" s="11">
        <v>2.422164801208794</v>
      </c>
      <c r="E18" s="11">
        <v>221.62500000000026</v>
      </c>
      <c r="F18" s="11">
        <v>24.193750000000012</v>
      </c>
      <c r="G18" s="11">
        <v>-1.1119993814645568E-12</v>
      </c>
      <c r="J18" s="11">
        <v>16</v>
      </c>
      <c r="K18" s="11">
        <f t="shared" si="6"/>
        <v>230.25000000000034</v>
      </c>
      <c r="L18" s="11">
        <f t="shared" si="7"/>
        <v>-2.422164801208794</v>
      </c>
      <c r="M18" s="11">
        <f t="shared" si="8"/>
        <v>25.592187500000186</v>
      </c>
      <c r="N18" s="11">
        <f t="shared" si="9"/>
        <v>221.62500000000026</v>
      </c>
      <c r="O18" s="11">
        <f t="shared" si="10"/>
        <v>1.1119993814645568E-12</v>
      </c>
      <c r="P18" s="11">
        <f t="shared" si="11"/>
        <v>24.193750000000012</v>
      </c>
    </row>
    <row r="19" spans="1:16">
      <c r="A19" s="11">
        <v>17</v>
      </c>
      <c r="B19" s="11">
        <v>238.87500000000026</v>
      </c>
      <c r="C19" s="11">
        <v>24.193749999999039</v>
      </c>
      <c r="D19" s="11">
        <v>-1.0977885267493548E-12</v>
      </c>
      <c r="E19" s="11">
        <v>230.25000000000034</v>
      </c>
      <c r="F19" s="11">
        <v>25.592187500000186</v>
      </c>
      <c r="G19" s="11">
        <v>2.422164801208794</v>
      </c>
      <c r="J19" s="11">
        <v>17</v>
      </c>
      <c r="K19" s="11">
        <f t="shared" si="6"/>
        <v>238.87500000000026</v>
      </c>
      <c r="L19" s="11">
        <f t="shared" si="7"/>
        <v>1.0977885267493548E-12</v>
      </c>
      <c r="M19" s="11">
        <f t="shared" si="8"/>
        <v>24.193749999999039</v>
      </c>
      <c r="N19" s="11">
        <f t="shared" si="9"/>
        <v>230.25000000000034</v>
      </c>
      <c r="O19" s="11">
        <f t="shared" si="10"/>
        <v>-2.422164801208794</v>
      </c>
      <c r="P19" s="11">
        <f t="shared" si="11"/>
        <v>25.592187500000186</v>
      </c>
    </row>
    <row r="20" spans="1:16">
      <c r="A20" s="11">
        <v>18</v>
      </c>
      <c r="B20" s="11">
        <v>213.00000000000026</v>
      </c>
      <c r="C20" s="11">
        <v>29.787500000000012</v>
      </c>
      <c r="D20" s="11">
        <v>-6.7856831265089568E-13</v>
      </c>
      <c r="E20" s="11">
        <v>213.00000000000034</v>
      </c>
      <c r="F20" s="11">
        <v>25.592187500000186</v>
      </c>
      <c r="G20" s="11">
        <v>2.4221648012092132</v>
      </c>
      <c r="J20" s="11">
        <v>18</v>
      </c>
      <c r="K20" s="11">
        <f t="shared" si="6"/>
        <v>213.00000000000026</v>
      </c>
      <c r="L20" s="11">
        <f t="shared" si="7"/>
        <v>6.7856831265089568E-13</v>
      </c>
      <c r="M20" s="11">
        <f t="shared" si="8"/>
        <v>29.787500000000012</v>
      </c>
      <c r="N20" s="11">
        <f t="shared" si="9"/>
        <v>213.00000000000034</v>
      </c>
      <c r="O20" s="11">
        <f t="shared" si="10"/>
        <v>-2.4221648012092132</v>
      </c>
      <c r="P20" s="11">
        <f t="shared" si="11"/>
        <v>25.592187500000186</v>
      </c>
    </row>
    <row r="21" spans="1:16">
      <c r="A21" s="11">
        <v>19</v>
      </c>
      <c r="B21" s="11">
        <v>212.99999999999989</v>
      </c>
      <c r="C21" s="11">
        <v>25.592187500000261</v>
      </c>
      <c r="D21" s="11">
        <v>2.4221648012093411</v>
      </c>
      <c r="E21" s="11">
        <v>204.37500000000028</v>
      </c>
      <c r="F21" s="11">
        <v>29.787500000000161</v>
      </c>
      <c r="G21" s="11">
        <v>-8.2067685980291571E-13</v>
      </c>
      <c r="J21" s="11">
        <v>19</v>
      </c>
      <c r="K21" s="11">
        <f t="shared" si="6"/>
        <v>212.99999999999989</v>
      </c>
      <c r="L21" s="11">
        <f t="shared" si="7"/>
        <v>-2.4221648012093411</v>
      </c>
      <c r="M21" s="11">
        <f t="shared" si="8"/>
        <v>25.592187500000261</v>
      </c>
      <c r="N21" s="11">
        <f t="shared" si="9"/>
        <v>204.37500000000028</v>
      </c>
      <c r="O21" s="11">
        <f t="shared" si="10"/>
        <v>8.2067685980291571E-13</v>
      </c>
      <c r="P21" s="11">
        <f t="shared" si="11"/>
        <v>29.787500000000161</v>
      </c>
    </row>
    <row r="22" spans="1:16">
      <c r="A22" s="11">
        <v>20</v>
      </c>
      <c r="B22" s="11">
        <v>221.62500000000028</v>
      </c>
      <c r="C22" s="11">
        <v>29.787500000000161</v>
      </c>
      <c r="D22" s="11">
        <v>8.7396756498492323E-13</v>
      </c>
      <c r="E22" s="11">
        <v>212.99999999999989</v>
      </c>
      <c r="F22" s="11">
        <v>25.592187500000261</v>
      </c>
      <c r="G22" s="11">
        <v>2.4221648012093411</v>
      </c>
      <c r="J22" s="11">
        <v>20</v>
      </c>
      <c r="K22" s="11">
        <f t="shared" si="6"/>
        <v>221.62500000000028</v>
      </c>
      <c r="L22" s="11">
        <f t="shared" si="7"/>
        <v>-8.7396756498492323E-13</v>
      </c>
      <c r="M22" s="11">
        <f t="shared" si="8"/>
        <v>29.787500000000161</v>
      </c>
      <c r="N22" s="11">
        <f t="shared" si="9"/>
        <v>212.99999999999989</v>
      </c>
      <c r="O22" s="11">
        <f t="shared" si="10"/>
        <v>-2.4221648012093411</v>
      </c>
      <c r="P22" s="11">
        <f t="shared" si="11"/>
        <v>25.592187500000261</v>
      </c>
    </row>
    <row r="23" spans="1:16">
      <c r="A23" s="11">
        <v>21</v>
      </c>
      <c r="B23" s="11">
        <v>213.00000000000034</v>
      </c>
      <c r="C23" s="11">
        <v>25.592187500000186</v>
      </c>
      <c r="D23" s="11">
        <v>2.4221648012092132</v>
      </c>
      <c r="E23" s="11">
        <v>204.37500000000026</v>
      </c>
      <c r="F23" s="11">
        <v>24.193750000000012</v>
      </c>
      <c r="G23" s="11">
        <v>-6.9277916736609768E-13</v>
      </c>
      <c r="J23" s="11">
        <v>21</v>
      </c>
      <c r="K23" s="11">
        <f t="shared" si="6"/>
        <v>213.00000000000034</v>
      </c>
      <c r="L23" s="11">
        <f t="shared" si="7"/>
        <v>-2.4221648012092132</v>
      </c>
      <c r="M23" s="11">
        <f t="shared" si="8"/>
        <v>25.592187500000186</v>
      </c>
      <c r="N23" s="11">
        <f t="shared" si="9"/>
        <v>204.37500000000026</v>
      </c>
      <c r="O23" s="11">
        <f t="shared" si="10"/>
        <v>6.9277916736609768E-13</v>
      </c>
      <c r="P23" s="11">
        <f t="shared" si="11"/>
        <v>24.193750000000012</v>
      </c>
    </row>
    <row r="24" spans="1:16">
      <c r="A24" s="11">
        <v>22</v>
      </c>
      <c r="B24" s="11">
        <v>221.62500000000026</v>
      </c>
      <c r="C24" s="11">
        <v>24.193749999999039</v>
      </c>
      <c r="D24" s="11">
        <v>-6.7856831265089568E-13</v>
      </c>
      <c r="E24" s="11">
        <v>213.00000000000034</v>
      </c>
      <c r="F24" s="11">
        <v>25.592187500000186</v>
      </c>
      <c r="G24" s="11">
        <v>2.4221648012092132</v>
      </c>
      <c r="J24" s="11">
        <v>22</v>
      </c>
      <c r="K24" s="11">
        <f t="shared" si="6"/>
        <v>221.62500000000026</v>
      </c>
      <c r="L24" s="11">
        <f t="shared" si="7"/>
        <v>6.7856831265089568E-13</v>
      </c>
      <c r="M24" s="11">
        <f t="shared" si="8"/>
        <v>24.193749999999039</v>
      </c>
      <c r="N24" s="11">
        <f t="shared" si="9"/>
        <v>213.00000000000034</v>
      </c>
      <c r="O24" s="11">
        <f t="shared" si="10"/>
        <v>-2.4221648012092132</v>
      </c>
      <c r="P24" s="11">
        <f t="shared" si="11"/>
        <v>25.592187500000186</v>
      </c>
    </row>
    <row r="25" spans="1:16">
      <c r="A25" s="11">
        <v>23</v>
      </c>
      <c r="B25" s="11">
        <v>195.75000000000026</v>
      </c>
      <c r="C25" s="11">
        <v>29.787500000000161</v>
      </c>
      <c r="D25" s="11">
        <v>-3.0198066269804258E-13</v>
      </c>
      <c r="E25" s="11">
        <v>195.75000000000034</v>
      </c>
      <c r="F25" s="11">
        <v>25.592187500000335</v>
      </c>
      <c r="G25" s="11">
        <v>2.4221648012095898</v>
      </c>
      <c r="J25" s="11">
        <v>23</v>
      </c>
      <c r="K25" s="11">
        <f t="shared" si="6"/>
        <v>195.75000000000026</v>
      </c>
      <c r="L25" s="11">
        <f t="shared" si="7"/>
        <v>3.0198066269804258E-13</v>
      </c>
      <c r="M25" s="11">
        <f t="shared" si="8"/>
        <v>29.787500000000161</v>
      </c>
      <c r="N25" s="11">
        <f t="shared" si="9"/>
        <v>195.75000000000034</v>
      </c>
      <c r="O25" s="11">
        <f t="shared" si="10"/>
        <v>-2.4221648012095898</v>
      </c>
      <c r="P25" s="11">
        <f t="shared" si="11"/>
        <v>25.592187500000335</v>
      </c>
    </row>
    <row r="26" spans="1:16">
      <c r="A26" s="11">
        <v>24</v>
      </c>
      <c r="B26" s="11">
        <v>195.74999999999989</v>
      </c>
      <c r="C26" s="11">
        <v>25.59218750000041</v>
      </c>
      <c r="D26" s="11">
        <v>2.4221648012097177</v>
      </c>
      <c r="E26" s="11">
        <v>187.12500000000028</v>
      </c>
      <c r="F26" s="11">
        <v>29.787500000000311</v>
      </c>
      <c r="G26" s="11">
        <v>-4.4408920985006262E-13</v>
      </c>
      <c r="J26" s="11">
        <v>24</v>
      </c>
      <c r="K26" s="11">
        <f t="shared" si="6"/>
        <v>195.74999999999989</v>
      </c>
      <c r="L26" s="11">
        <f t="shared" si="7"/>
        <v>-2.4221648012097177</v>
      </c>
      <c r="M26" s="11">
        <f t="shared" si="8"/>
        <v>25.59218750000041</v>
      </c>
      <c r="N26" s="11">
        <f t="shared" si="9"/>
        <v>187.12500000000028</v>
      </c>
      <c r="O26" s="11">
        <f t="shared" si="10"/>
        <v>4.4408920985006262E-13</v>
      </c>
      <c r="P26" s="11">
        <f t="shared" si="11"/>
        <v>29.787500000000311</v>
      </c>
    </row>
    <row r="27" spans="1:16">
      <c r="A27" s="11">
        <v>25</v>
      </c>
      <c r="B27" s="11">
        <v>204.37500000000028</v>
      </c>
      <c r="C27" s="11">
        <v>29.787500000000311</v>
      </c>
      <c r="D27" s="11">
        <v>1.2505552149377763E-12</v>
      </c>
      <c r="E27" s="11">
        <v>195.74999999999989</v>
      </c>
      <c r="F27" s="11">
        <v>25.59218750000041</v>
      </c>
      <c r="G27" s="11">
        <v>2.4221648012097177</v>
      </c>
      <c r="J27" s="11">
        <v>25</v>
      </c>
      <c r="K27" s="11">
        <f t="shared" si="6"/>
        <v>204.37500000000028</v>
      </c>
      <c r="L27" s="11">
        <f t="shared" si="7"/>
        <v>-1.2505552149377763E-12</v>
      </c>
      <c r="M27" s="11">
        <f t="shared" si="8"/>
        <v>29.787500000000311</v>
      </c>
      <c r="N27" s="11">
        <f t="shared" si="9"/>
        <v>195.74999999999989</v>
      </c>
      <c r="O27" s="11">
        <f t="shared" si="10"/>
        <v>-2.4221648012097177</v>
      </c>
      <c r="P27" s="11">
        <f t="shared" si="11"/>
        <v>25.59218750000041</v>
      </c>
    </row>
    <row r="28" spans="1:16">
      <c r="A28" s="11">
        <v>26</v>
      </c>
      <c r="B28" s="11">
        <v>195.75000000000034</v>
      </c>
      <c r="C28" s="11">
        <v>25.592187500000335</v>
      </c>
      <c r="D28" s="11">
        <v>2.4221648012095898</v>
      </c>
      <c r="E28" s="11">
        <v>187.12500000000026</v>
      </c>
      <c r="F28" s="11">
        <v>24.193750000000161</v>
      </c>
      <c r="G28" s="11">
        <v>-3.1619151741324458E-13</v>
      </c>
      <c r="J28" s="11">
        <v>26</v>
      </c>
      <c r="K28" s="11">
        <f t="shared" si="6"/>
        <v>195.75000000000034</v>
      </c>
      <c r="L28" s="11">
        <f t="shared" si="7"/>
        <v>-2.4221648012095898</v>
      </c>
      <c r="M28" s="11">
        <f t="shared" si="8"/>
        <v>25.592187500000335</v>
      </c>
      <c r="N28" s="11">
        <f t="shared" si="9"/>
        <v>187.12500000000026</v>
      </c>
      <c r="O28" s="11">
        <f t="shared" si="10"/>
        <v>3.1619151741324458E-13</v>
      </c>
      <c r="P28" s="11">
        <f t="shared" si="11"/>
        <v>24.193750000000161</v>
      </c>
    </row>
    <row r="29" spans="1:16">
      <c r="A29" s="11">
        <v>27</v>
      </c>
      <c r="B29" s="11">
        <v>204.37500000000026</v>
      </c>
      <c r="C29" s="11">
        <v>24.193749999999188</v>
      </c>
      <c r="D29" s="11">
        <v>-3.0198066269804258E-13</v>
      </c>
      <c r="E29" s="11">
        <v>195.75000000000034</v>
      </c>
      <c r="F29" s="11">
        <v>25.592187500000335</v>
      </c>
      <c r="G29" s="11">
        <v>2.4221648012095898</v>
      </c>
      <c r="J29" s="11">
        <v>27</v>
      </c>
      <c r="K29" s="11">
        <f t="shared" si="6"/>
        <v>204.37500000000026</v>
      </c>
      <c r="L29" s="11">
        <f t="shared" si="7"/>
        <v>3.0198066269804258E-13</v>
      </c>
      <c r="M29" s="11">
        <f t="shared" si="8"/>
        <v>24.193749999999188</v>
      </c>
      <c r="N29" s="11">
        <f t="shared" si="9"/>
        <v>195.75000000000034</v>
      </c>
      <c r="O29" s="11">
        <f t="shared" si="10"/>
        <v>-2.4221648012095898</v>
      </c>
      <c r="P29" s="11">
        <f t="shared" si="11"/>
        <v>25.592187500000335</v>
      </c>
    </row>
    <row r="30" spans="1:16">
      <c r="A30" s="11">
        <v>28</v>
      </c>
      <c r="B30" s="11">
        <v>23.250000000000227</v>
      </c>
      <c r="C30" s="11">
        <v>29.78750000000019</v>
      </c>
      <c r="D30" s="11">
        <v>-1.723066134218243E-12</v>
      </c>
      <c r="E30" s="11">
        <v>23.250000000000313</v>
      </c>
      <c r="F30" s="11">
        <v>25.592187500000364</v>
      </c>
      <c r="G30" s="11">
        <v>2.4221648012081687</v>
      </c>
      <c r="J30" s="11">
        <v>28</v>
      </c>
      <c r="K30" s="11">
        <f t="shared" si="6"/>
        <v>23.250000000000227</v>
      </c>
      <c r="L30" s="11">
        <f t="shared" si="7"/>
        <v>1.723066134218243E-12</v>
      </c>
      <c r="M30" s="11">
        <f t="shared" si="8"/>
        <v>29.78750000000019</v>
      </c>
      <c r="N30" s="11">
        <f t="shared" si="9"/>
        <v>23.250000000000313</v>
      </c>
      <c r="O30" s="11">
        <f t="shared" si="10"/>
        <v>-2.4221648012081687</v>
      </c>
      <c r="P30" s="11">
        <f t="shared" si="11"/>
        <v>25.592187500000364</v>
      </c>
    </row>
    <row r="31" spans="1:16">
      <c r="A31" s="11">
        <v>29</v>
      </c>
      <c r="B31" s="11">
        <v>23.249999999999858</v>
      </c>
      <c r="C31" s="11">
        <v>25.592187500000438</v>
      </c>
      <c r="D31" s="11">
        <v>2.4221648012082966</v>
      </c>
      <c r="E31" s="11">
        <v>14.625000000000258</v>
      </c>
      <c r="F31" s="11">
        <v>29.787500000000339</v>
      </c>
      <c r="G31" s="11">
        <v>-1.865174681370263E-12</v>
      </c>
      <c r="J31" s="11">
        <v>29</v>
      </c>
      <c r="K31" s="11">
        <f t="shared" si="6"/>
        <v>23.249999999999858</v>
      </c>
      <c r="L31" s="11">
        <f t="shared" si="7"/>
        <v>-2.4221648012082966</v>
      </c>
      <c r="M31" s="11">
        <f t="shared" si="8"/>
        <v>25.592187500000438</v>
      </c>
      <c r="N31" s="11">
        <f t="shared" si="9"/>
        <v>14.625000000000258</v>
      </c>
      <c r="O31" s="11">
        <f t="shared" si="10"/>
        <v>1.865174681370263E-12</v>
      </c>
      <c r="P31" s="11">
        <f t="shared" si="11"/>
        <v>29.787500000000339</v>
      </c>
    </row>
    <row r="32" spans="1:16">
      <c r="A32" s="11">
        <v>30</v>
      </c>
      <c r="B32" s="11">
        <v>31.875000000000256</v>
      </c>
      <c r="C32" s="11">
        <v>29.787500000000339</v>
      </c>
      <c r="D32" s="11">
        <v>-1.6697754290362354E-13</v>
      </c>
      <c r="E32" s="11">
        <v>23.249999999999858</v>
      </c>
      <c r="F32" s="11">
        <v>25.592187500000438</v>
      </c>
      <c r="G32" s="11">
        <v>2.4221648012082966</v>
      </c>
      <c r="J32" s="11">
        <v>30</v>
      </c>
      <c r="K32" s="11">
        <f t="shared" si="6"/>
        <v>31.875000000000256</v>
      </c>
      <c r="L32" s="11">
        <f t="shared" si="7"/>
        <v>1.6697754290362354E-13</v>
      </c>
      <c r="M32" s="11">
        <f t="shared" si="8"/>
        <v>29.787500000000339</v>
      </c>
      <c r="N32" s="11">
        <f t="shared" si="9"/>
        <v>23.249999999999858</v>
      </c>
      <c r="O32" s="11">
        <f t="shared" si="10"/>
        <v>-2.4221648012082966</v>
      </c>
      <c r="P32" s="11">
        <f t="shared" si="11"/>
        <v>25.592187500000438</v>
      </c>
    </row>
    <row r="33" spans="1:16">
      <c r="A33" s="11">
        <v>31</v>
      </c>
      <c r="B33" s="11">
        <v>23.250000000000313</v>
      </c>
      <c r="C33" s="11">
        <v>25.592187500000364</v>
      </c>
      <c r="D33" s="11">
        <v>2.4221648012081687</v>
      </c>
      <c r="E33" s="11">
        <v>14.625000000000229</v>
      </c>
      <c r="F33" s="11">
        <v>24.19375000000019</v>
      </c>
      <c r="G33" s="11">
        <v>-1.737276988933445E-12</v>
      </c>
      <c r="J33" s="11">
        <v>31</v>
      </c>
      <c r="K33" s="11">
        <f t="shared" si="6"/>
        <v>23.250000000000313</v>
      </c>
      <c r="L33" s="11">
        <f t="shared" si="7"/>
        <v>-2.4221648012081687</v>
      </c>
      <c r="M33" s="11">
        <f t="shared" si="8"/>
        <v>25.592187500000364</v>
      </c>
      <c r="N33" s="11">
        <f t="shared" si="9"/>
        <v>14.625000000000229</v>
      </c>
      <c r="O33" s="11">
        <f t="shared" si="10"/>
        <v>1.737276988933445E-12</v>
      </c>
      <c r="P33" s="11">
        <f t="shared" si="11"/>
        <v>24.19375000000019</v>
      </c>
    </row>
    <row r="34" spans="1:16">
      <c r="A34" s="11">
        <v>32</v>
      </c>
      <c r="B34" s="11">
        <v>31.875000000000227</v>
      </c>
      <c r="C34" s="11">
        <v>24.193749999999216</v>
      </c>
      <c r="D34" s="11">
        <v>-1.723066134218243E-12</v>
      </c>
      <c r="E34" s="11">
        <v>23.250000000000313</v>
      </c>
      <c r="F34" s="11">
        <v>25.592187500000364</v>
      </c>
      <c r="G34" s="11">
        <v>2.4221648012081687</v>
      </c>
      <c r="J34" s="11">
        <v>32</v>
      </c>
      <c r="K34" s="11">
        <f t="shared" si="6"/>
        <v>31.875000000000227</v>
      </c>
      <c r="L34" s="11">
        <f t="shared" si="7"/>
        <v>1.723066134218243E-12</v>
      </c>
      <c r="M34" s="11">
        <f t="shared" si="8"/>
        <v>24.193749999999216</v>
      </c>
      <c r="N34" s="11">
        <f t="shared" si="9"/>
        <v>23.250000000000313</v>
      </c>
      <c r="O34" s="11">
        <f t="shared" si="10"/>
        <v>-2.4221648012081687</v>
      </c>
      <c r="P34" s="11">
        <f t="shared" si="11"/>
        <v>25.592187500000364</v>
      </c>
    </row>
    <row r="35" spans="1:16">
      <c r="A35" s="11">
        <v>33</v>
      </c>
      <c r="B35" s="11">
        <v>40.500000000000234</v>
      </c>
      <c r="C35" s="11">
        <v>29.78750000000214</v>
      </c>
      <c r="D35" s="11">
        <v>-1.4559020655724453E-11</v>
      </c>
      <c r="E35" s="11">
        <v>40.500000000000313</v>
      </c>
      <c r="F35" s="11">
        <v>25.592187500002314</v>
      </c>
      <c r="G35" s="11">
        <v>2.4221648011953292</v>
      </c>
      <c r="J35" s="11">
        <v>33</v>
      </c>
      <c r="K35" s="11">
        <f t="shared" si="6"/>
        <v>40.500000000000234</v>
      </c>
      <c r="L35" s="11">
        <f t="shared" si="7"/>
        <v>1.4559020655724453E-11</v>
      </c>
      <c r="M35" s="11">
        <f t="shared" si="8"/>
        <v>29.78750000000214</v>
      </c>
      <c r="N35" s="11">
        <f t="shared" si="9"/>
        <v>40.500000000000313</v>
      </c>
      <c r="O35" s="11">
        <f t="shared" si="10"/>
        <v>-2.4221648011953292</v>
      </c>
      <c r="P35" s="11">
        <f t="shared" si="11"/>
        <v>25.592187500002314</v>
      </c>
    </row>
    <row r="36" spans="1:16">
      <c r="A36" s="11">
        <v>34</v>
      </c>
      <c r="B36" s="11">
        <v>40.499999999999858</v>
      </c>
      <c r="C36" s="11">
        <v>25.592187500002389</v>
      </c>
      <c r="D36" s="11">
        <v>2.4221648011954571</v>
      </c>
      <c r="E36" s="11">
        <v>31.875000000000256</v>
      </c>
      <c r="F36" s="11">
        <v>29.787500000002289</v>
      </c>
      <c r="G36" s="11">
        <v>-1.4701129202876473E-11</v>
      </c>
      <c r="J36" s="11">
        <v>34</v>
      </c>
      <c r="K36" s="11">
        <f t="shared" si="6"/>
        <v>40.499999999999858</v>
      </c>
      <c r="L36" s="11">
        <f t="shared" si="7"/>
        <v>-2.4221648011954571</v>
      </c>
      <c r="M36" s="11">
        <f t="shared" si="8"/>
        <v>25.592187500002389</v>
      </c>
      <c r="N36" s="11">
        <f t="shared" si="9"/>
        <v>31.875000000000256</v>
      </c>
      <c r="O36" s="11">
        <f t="shared" si="10"/>
        <v>1.4701129202876473E-11</v>
      </c>
      <c r="P36" s="11">
        <f t="shared" si="11"/>
        <v>29.787500000002289</v>
      </c>
    </row>
    <row r="37" spans="1:16">
      <c r="A37" s="11">
        <v>35</v>
      </c>
      <c r="B37" s="11">
        <v>49.125000000000263</v>
      </c>
      <c r="C37" s="11">
        <v>29.787500000002289</v>
      </c>
      <c r="D37" s="11">
        <v>-1.3002932064409833E-11</v>
      </c>
      <c r="E37" s="11">
        <v>40.499999999999858</v>
      </c>
      <c r="F37" s="11">
        <v>25.592187500002389</v>
      </c>
      <c r="G37" s="11">
        <v>2.4221648011954571</v>
      </c>
      <c r="J37" s="11">
        <v>35</v>
      </c>
      <c r="K37" s="11">
        <f t="shared" si="6"/>
        <v>49.125000000000263</v>
      </c>
      <c r="L37" s="11">
        <f t="shared" si="7"/>
        <v>1.3002932064409833E-11</v>
      </c>
      <c r="M37" s="11">
        <f t="shared" si="8"/>
        <v>29.787500000002289</v>
      </c>
      <c r="N37" s="11">
        <f t="shared" si="9"/>
        <v>40.499999999999858</v>
      </c>
      <c r="O37" s="11">
        <f t="shared" si="10"/>
        <v>-2.4221648011954571</v>
      </c>
      <c r="P37" s="11">
        <f t="shared" si="11"/>
        <v>25.592187500002389</v>
      </c>
    </row>
    <row r="38" spans="1:16">
      <c r="A38" s="11">
        <v>36</v>
      </c>
      <c r="B38" s="11">
        <v>40.500000000000313</v>
      </c>
      <c r="C38" s="11">
        <v>25.592187500002314</v>
      </c>
      <c r="D38" s="11">
        <v>2.4221648011953292</v>
      </c>
      <c r="E38" s="11">
        <v>31.875000000000227</v>
      </c>
      <c r="F38" s="11">
        <v>24.19375000000214</v>
      </c>
      <c r="G38" s="11">
        <v>-1.4573231510439655E-11</v>
      </c>
      <c r="J38" s="11">
        <v>36</v>
      </c>
      <c r="K38" s="11">
        <f t="shared" si="6"/>
        <v>40.500000000000313</v>
      </c>
      <c r="L38" s="11">
        <f t="shared" si="7"/>
        <v>-2.4221648011953292</v>
      </c>
      <c r="M38" s="11">
        <f t="shared" si="8"/>
        <v>25.592187500002314</v>
      </c>
      <c r="N38" s="11">
        <f t="shared" si="9"/>
        <v>31.875000000000227</v>
      </c>
      <c r="O38" s="11">
        <f t="shared" si="10"/>
        <v>1.4573231510439655E-11</v>
      </c>
      <c r="P38" s="11">
        <f t="shared" si="11"/>
        <v>24.19375000000214</v>
      </c>
    </row>
    <row r="39" spans="1:16">
      <c r="A39" s="11">
        <v>37</v>
      </c>
      <c r="B39" s="11">
        <v>49.125000000000234</v>
      </c>
      <c r="C39" s="11">
        <v>24.193750000001167</v>
      </c>
      <c r="D39" s="11">
        <v>-1.4559020655724453E-11</v>
      </c>
      <c r="E39" s="11">
        <v>40.500000000000313</v>
      </c>
      <c r="F39" s="11">
        <v>25.592187500002314</v>
      </c>
      <c r="G39" s="11">
        <v>2.4221648011953292</v>
      </c>
      <c r="J39" s="11">
        <v>37</v>
      </c>
      <c r="K39" s="11">
        <f t="shared" si="6"/>
        <v>49.125000000000234</v>
      </c>
      <c r="L39" s="11">
        <f t="shared" si="7"/>
        <v>1.4559020655724453E-11</v>
      </c>
      <c r="M39" s="11">
        <f t="shared" si="8"/>
        <v>24.193750000001167</v>
      </c>
      <c r="N39" s="11">
        <f t="shared" si="9"/>
        <v>40.500000000000313</v>
      </c>
      <c r="O39" s="11">
        <f t="shared" si="10"/>
        <v>-2.4221648011953292</v>
      </c>
      <c r="P39" s="11">
        <f t="shared" si="11"/>
        <v>25.592187500002314</v>
      </c>
    </row>
    <row r="40" spans="1:16">
      <c r="A40" s="11">
        <v>38</v>
      </c>
      <c r="B40" s="11">
        <v>57.750000000000576</v>
      </c>
      <c r="C40" s="11">
        <v>29.787500000001675</v>
      </c>
      <c r="D40" s="11">
        <v>-1.2590817277668975E-11</v>
      </c>
      <c r="E40" s="11">
        <v>57.750000000000654</v>
      </c>
      <c r="F40" s="11">
        <v>25.592187500001849</v>
      </c>
      <c r="G40" s="11">
        <v>2.4221648011973045</v>
      </c>
      <c r="J40" s="11">
        <v>38</v>
      </c>
      <c r="K40" s="11">
        <f t="shared" si="6"/>
        <v>57.750000000000576</v>
      </c>
      <c r="L40" s="11">
        <f t="shared" si="7"/>
        <v>1.2590817277668975E-11</v>
      </c>
      <c r="M40" s="11">
        <f t="shared" si="8"/>
        <v>29.787500000001675</v>
      </c>
      <c r="N40" s="11">
        <f t="shared" si="9"/>
        <v>57.750000000000654</v>
      </c>
      <c r="O40" s="11">
        <f t="shared" si="10"/>
        <v>-2.4221648011973045</v>
      </c>
      <c r="P40" s="11">
        <f t="shared" si="11"/>
        <v>25.592187500001849</v>
      </c>
    </row>
    <row r="41" spans="1:16">
      <c r="A41" s="11">
        <v>39</v>
      </c>
      <c r="B41" s="11">
        <v>57.750000000000199</v>
      </c>
      <c r="C41" s="11">
        <v>25.592187500001923</v>
      </c>
      <c r="D41" s="11">
        <v>2.4221648011974324</v>
      </c>
      <c r="E41" s="11">
        <v>49.125000000000604</v>
      </c>
      <c r="F41" s="11">
        <v>29.787500000001824</v>
      </c>
      <c r="G41" s="11">
        <v>-1.2732925824820995E-11</v>
      </c>
      <c r="J41" s="11">
        <v>39</v>
      </c>
      <c r="K41" s="11">
        <f t="shared" si="6"/>
        <v>57.750000000000199</v>
      </c>
      <c r="L41" s="11">
        <f t="shared" si="7"/>
        <v>-2.4221648011974324</v>
      </c>
      <c r="M41" s="11">
        <f t="shared" si="8"/>
        <v>25.592187500001923</v>
      </c>
      <c r="N41" s="11">
        <f t="shared" si="9"/>
        <v>49.125000000000604</v>
      </c>
      <c r="O41" s="11">
        <f t="shared" si="10"/>
        <v>1.2732925824820995E-11</v>
      </c>
      <c r="P41" s="11">
        <f t="shared" si="11"/>
        <v>29.787500000001824</v>
      </c>
    </row>
    <row r="42" spans="1:16">
      <c r="A42" s="11">
        <v>40</v>
      </c>
      <c r="B42" s="11">
        <v>66.375000000000597</v>
      </c>
      <c r="C42" s="11">
        <v>29.787500000001824</v>
      </c>
      <c r="D42" s="11">
        <v>-1.1034728686354356E-11</v>
      </c>
      <c r="E42" s="11">
        <v>57.750000000000199</v>
      </c>
      <c r="F42" s="11">
        <v>25.592187500001923</v>
      </c>
      <c r="G42" s="11">
        <v>2.4221648011974324</v>
      </c>
      <c r="J42" s="11">
        <v>40</v>
      </c>
      <c r="K42" s="11">
        <f t="shared" si="6"/>
        <v>66.375000000000597</v>
      </c>
      <c r="L42" s="11">
        <f t="shared" si="7"/>
        <v>1.1034728686354356E-11</v>
      </c>
      <c r="M42" s="11">
        <f t="shared" si="8"/>
        <v>29.787500000001824</v>
      </c>
      <c r="N42" s="11">
        <f t="shared" si="9"/>
        <v>57.750000000000199</v>
      </c>
      <c r="O42" s="11">
        <f t="shared" si="10"/>
        <v>-2.4221648011974324</v>
      </c>
      <c r="P42" s="11">
        <f t="shared" si="11"/>
        <v>25.592187500001923</v>
      </c>
    </row>
    <row r="43" spans="1:16">
      <c r="A43" s="11">
        <v>41</v>
      </c>
      <c r="B43" s="11">
        <v>57.750000000000654</v>
      </c>
      <c r="C43" s="11">
        <v>25.592187500001849</v>
      </c>
      <c r="D43" s="11">
        <v>2.4221648011973045</v>
      </c>
      <c r="E43" s="11">
        <v>49.125000000000576</v>
      </c>
      <c r="F43" s="11">
        <v>24.193750000001675</v>
      </c>
      <c r="G43" s="11">
        <v>-1.2605028132384177E-11</v>
      </c>
      <c r="J43" s="11">
        <v>41</v>
      </c>
      <c r="K43" s="11">
        <f t="shared" si="6"/>
        <v>57.750000000000654</v>
      </c>
      <c r="L43" s="11">
        <f t="shared" si="7"/>
        <v>-2.4221648011973045</v>
      </c>
      <c r="M43" s="11">
        <f t="shared" si="8"/>
        <v>25.592187500001849</v>
      </c>
      <c r="N43" s="11">
        <f t="shared" si="9"/>
        <v>49.125000000000576</v>
      </c>
      <c r="O43" s="11">
        <f t="shared" si="10"/>
        <v>1.2605028132384177E-11</v>
      </c>
      <c r="P43" s="11">
        <f t="shared" si="11"/>
        <v>24.193750000001675</v>
      </c>
    </row>
    <row r="44" spans="1:16">
      <c r="A44" s="11">
        <v>42</v>
      </c>
      <c r="B44" s="11">
        <v>66.375000000000568</v>
      </c>
      <c r="C44" s="11">
        <v>24.193750000000701</v>
      </c>
      <c r="D44" s="11">
        <v>-1.2590817277668975E-11</v>
      </c>
      <c r="E44" s="11">
        <v>57.750000000000654</v>
      </c>
      <c r="F44" s="11">
        <v>25.592187500001849</v>
      </c>
      <c r="G44" s="11">
        <v>2.4221648011973045</v>
      </c>
      <c r="J44" s="11">
        <v>42</v>
      </c>
      <c r="K44" s="11">
        <f t="shared" si="6"/>
        <v>66.375000000000568</v>
      </c>
      <c r="L44" s="11">
        <f t="shared" si="7"/>
        <v>1.2590817277668975E-11</v>
      </c>
      <c r="M44" s="11">
        <f t="shared" si="8"/>
        <v>24.193750000000701</v>
      </c>
      <c r="N44" s="11">
        <f t="shared" si="9"/>
        <v>57.750000000000654</v>
      </c>
      <c r="O44" s="11">
        <f t="shared" si="10"/>
        <v>-2.4221648011973045</v>
      </c>
      <c r="P44" s="11">
        <f t="shared" si="11"/>
        <v>25.592187500001849</v>
      </c>
    </row>
    <row r="45" spans="1:16">
      <c r="A45" s="11">
        <v>43</v>
      </c>
      <c r="B45" s="11">
        <v>75.000000000000256</v>
      </c>
      <c r="C45" s="11">
        <v>29.787500000001526</v>
      </c>
      <c r="D45" s="11">
        <v>-1.0807355010911124E-11</v>
      </c>
      <c r="E45" s="11">
        <v>75.000000000000341</v>
      </c>
      <c r="F45" s="11">
        <v>25.5921875000017</v>
      </c>
      <c r="G45" s="11">
        <v>2.4221648011990808</v>
      </c>
      <c r="J45" s="11">
        <v>43</v>
      </c>
      <c r="K45" s="11">
        <f t="shared" si="6"/>
        <v>75.000000000000256</v>
      </c>
      <c r="L45" s="11">
        <f t="shared" si="7"/>
        <v>1.0807355010911124E-11</v>
      </c>
      <c r="M45" s="11">
        <f t="shared" si="8"/>
        <v>29.787500000001526</v>
      </c>
      <c r="N45" s="11">
        <f t="shared" si="9"/>
        <v>75.000000000000341</v>
      </c>
      <c r="O45" s="11">
        <f t="shared" si="10"/>
        <v>-2.4221648011990808</v>
      </c>
      <c r="P45" s="11">
        <f t="shared" si="11"/>
        <v>25.5921875000017</v>
      </c>
    </row>
    <row r="46" spans="1:16">
      <c r="A46" s="11">
        <v>44</v>
      </c>
      <c r="B46" s="11">
        <v>74.999999999999886</v>
      </c>
      <c r="C46" s="11">
        <v>25.592187500001774</v>
      </c>
      <c r="D46" s="11">
        <v>2.4221648011992087</v>
      </c>
      <c r="E46" s="11">
        <v>66.375000000000284</v>
      </c>
      <c r="F46" s="11">
        <v>29.787500000001675</v>
      </c>
      <c r="G46" s="11">
        <v>-1.0949463558063144E-11</v>
      </c>
      <c r="J46" s="11">
        <v>44</v>
      </c>
      <c r="K46" s="11">
        <f t="shared" si="6"/>
        <v>74.999999999999886</v>
      </c>
      <c r="L46" s="11">
        <f t="shared" si="7"/>
        <v>-2.4221648011992087</v>
      </c>
      <c r="M46" s="11">
        <f t="shared" si="8"/>
        <v>25.592187500001774</v>
      </c>
      <c r="N46" s="11">
        <f t="shared" si="9"/>
        <v>66.375000000000284</v>
      </c>
      <c r="O46" s="11">
        <f t="shared" si="10"/>
        <v>1.0949463558063144E-11</v>
      </c>
      <c r="P46" s="11">
        <f t="shared" si="11"/>
        <v>29.787500000001675</v>
      </c>
    </row>
    <row r="47" spans="1:16">
      <c r="A47" s="11">
        <v>45</v>
      </c>
      <c r="B47" s="11">
        <v>83.625000000000284</v>
      </c>
      <c r="C47" s="11">
        <v>29.787500000001675</v>
      </c>
      <c r="D47" s="11">
        <v>-9.2512664195965044E-12</v>
      </c>
      <c r="E47" s="11">
        <v>74.999999999999886</v>
      </c>
      <c r="F47" s="11">
        <v>25.592187500001774</v>
      </c>
      <c r="G47" s="11">
        <v>2.4221648011992087</v>
      </c>
      <c r="J47" s="11">
        <v>45</v>
      </c>
      <c r="K47" s="11">
        <f t="shared" si="6"/>
        <v>83.625000000000284</v>
      </c>
      <c r="L47" s="11">
        <f t="shared" si="7"/>
        <v>9.2512664195965044E-12</v>
      </c>
      <c r="M47" s="11">
        <f t="shared" si="8"/>
        <v>29.787500000001675</v>
      </c>
      <c r="N47" s="11">
        <f t="shared" si="9"/>
        <v>74.999999999999886</v>
      </c>
      <c r="O47" s="11">
        <f t="shared" si="10"/>
        <v>-2.4221648011992087</v>
      </c>
      <c r="P47" s="11">
        <f t="shared" si="11"/>
        <v>25.592187500001774</v>
      </c>
    </row>
    <row r="48" spans="1:16">
      <c r="A48" s="11">
        <v>46</v>
      </c>
      <c r="B48" s="11">
        <v>75.000000000000341</v>
      </c>
      <c r="C48" s="11">
        <v>25.5921875000017</v>
      </c>
      <c r="D48" s="11">
        <v>2.4221648011990808</v>
      </c>
      <c r="E48" s="11">
        <v>66.375000000000256</v>
      </c>
      <c r="F48" s="11">
        <v>24.193750000001526</v>
      </c>
      <c r="G48" s="11">
        <v>-1.0821565865626326E-11</v>
      </c>
      <c r="J48" s="11">
        <v>46</v>
      </c>
      <c r="K48" s="11">
        <f t="shared" si="6"/>
        <v>75.000000000000341</v>
      </c>
      <c r="L48" s="11">
        <f t="shared" si="7"/>
        <v>-2.4221648011990808</v>
      </c>
      <c r="M48" s="11">
        <f t="shared" si="8"/>
        <v>25.5921875000017</v>
      </c>
      <c r="N48" s="11">
        <f t="shared" si="9"/>
        <v>66.375000000000256</v>
      </c>
      <c r="O48" s="11">
        <f t="shared" si="10"/>
        <v>1.0821565865626326E-11</v>
      </c>
      <c r="P48" s="11">
        <f t="shared" si="11"/>
        <v>24.193750000001526</v>
      </c>
    </row>
    <row r="49" spans="1:16">
      <c r="A49" s="11">
        <v>47</v>
      </c>
      <c r="B49" s="11">
        <v>83.625000000000256</v>
      </c>
      <c r="C49" s="11">
        <v>24.193750000000552</v>
      </c>
      <c r="D49" s="11">
        <v>-1.0807355010911124E-11</v>
      </c>
      <c r="E49" s="11">
        <v>75.000000000000341</v>
      </c>
      <c r="F49" s="11">
        <v>25.5921875000017</v>
      </c>
      <c r="G49" s="11">
        <v>2.4221648011990808</v>
      </c>
      <c r="J49" s="11">
        <v>47</v>
      </c>
      <c r="K49" s="11">
        <f t="shared" si="6"/>
        <v>83.625000000000256</v>
      </c>
      <c r="L49" s="11">
        <f t="shared" si="7"/>
        <v>1.0807355010911124E-11</v>
      </c>
      <c r="M49" s="11">
        <f t="shared" si="8"/>
        <v>24.193750000000552</v>
      </c>
      <c r="N49" s="11">
        <f t="shared" si="9"/>
        <v>75.000000000000341</v>
      </c>
      <c r="O49" s="11">
        <f t="shared" si="10"/>
        <v>-2.4221648011990808</v>
      </c>
      <c r="P49" s="11">
        <f t="shared" si="11"/>
        <v>25.5921875000017</v>
      </c>
    </row>
    <row r="50" spans="1:16">
      <c r="A50" s="11">
        <v>48</v>
      </c>
      <c r="B50" s="11">
        <v>92.250000000000227</v>
      </c>
      <c r="C50" s="11">
        <v>29.787500000001238</v>
      </c>
      <c r="D50" s="11">
        <v>-8.9457330432196613E-12</v>
      </c>
      <c r="E50" s="11">
        <v>92.250000000000313</v>
      </c>
      <c r="F50" s="11">
        <v>25.592187500001412</v>
      </c>
      <c r="G50" s="11">
        <v>2.4221648012009425</v>
      </c>
      <c r="J50" s="11">
        <v>48</v>
      </c>
      <c r="K50" s="11">
        <f t="shared" si="6"/>
        <v>92.250000000000227</v>
      </c>
      <c r="L50" s="11">
        <f t="shared" si="7"/>
        <v>8.9457330432196613E-12</v>
      </c>
      <c r="M50" s="11">
        <f t="shared" si="8"/>
        <v>29.787500000001238</v>
      </c>
      <c r="N50" s="11">
        <f t="shared" si="9"/>
        <v>92.250000000000313</v>
      </c>
      <c r="O50" s="11">
        <f t="shared" si="10"/>
        <v>-2.4221648012009425</v>
      </c>
      <c r="P50" s="11">
        <f t="shared" si="11"/>
        <v>25.592187500001412</v>
      </c>
    </row>
    <row r="51" spans="1:16">
      <c r="A51" s="11">
        <v>49</v>
      </c>
      <c r="B51" s="11">
        <v>92.249999999999858</v>
      </c>
      <c r="C51" s="11">
        <v>25.592187500001486</v>
      </c>
      <c r="D51" s="11">
        <v>2.4221648012010704</v>
      </c>
      <c r="E51" s="11">
        <v>83.625000000000256</v>
      </c>
      <c r="F51" s="11">
        <v>29.787500000001387</v>
      </c>
      <c r="G51" s="11">
        <v>-9.0878415903716814E-12</v>
      </c>
      <c r="J51" s="11">
        <v>49</v>
      </c>
      <c r="K51" s="11">
        <f t="shared" si="6"/>
        <v>92.249999999999858</v>
      </c>
      <c r="L51" s="11">
        <f t="shared" si="7"/>
        <v>-2.4221648012010704</v>
      </c>
      <c r="M51" s="11">
        <f t="shared" si="8"/>
        <v>25.592187500001486</v>
      </c>
      <c r="N51" s="11">
        <f t="shared" si="9"/>
        <v>83.625000000000256</v>
      </c>
      <c r="O51" s="11">
        <f t="shared" si="10"/>
        <v>9.0878415903716814E-12</v>
      </c>
      <c r="P51" s="11">
        <f t="shared" si="11"/>
        <v>29.787500000001387</v>
      </c>
    </row>
    <row r="52" spans="1:16">
      <c r="A52" s="11">
        <v>50</v>
      </c>
      <c r="B52" s="11">
        <v>100.87500000000026</v>
      </c>
      <c r="C52" s="11">
        <v>29.787500000001387</v>
      </c>
      <c r="D52" s="11">
        <v>-7.3896444519050419E-12</v>
      </c>
      <c r="E52" s="11">
        <v>92.249999999999858</v>
      </c>
      <c r="F52" s="11">
        <v>25.592187500001486</v>
      </c>
      <c r="G52" s="11">
        <v>2.4221648012010704</v>
      </c>
      <c r="J52" s="11">
        <v>50</v>
      </c>
      <c r="K52" s="11">
        <f t="shared" si="6"/>
        <v>100.87500000000026</v>
      </c>
      <c r="L52" s="11">
        <f t="shared" si="7"/>
        <v>7.3896444519050419E-12</v>
      </c>
      <c r="M52" s="11">
        <f t="shared" si="8"/>
        <v>29.787500000001387</v>
      </c>
      <c r="N52" s="11">
        <f t="shared" si="9"/>
        <v>92.249999999999858</v>
      </c>
      <c r="O52" s="11">
        <f t="shared" si="10"/>
        <v>-2.4221648012010704</v>
      </c>
      <c r="P52" s="11">
        <f t="shared" si="11"/>
        <v>25.592187500001486</v>
      </c>
    </row>
    <row r="53" spans="1:16">
      <c r="A53" s="11">
        <v>51</v>
      </c>
      <c r="B53" s="11">
        <v>92.250000000000313</v>
      </c>
      <c r="C53" s="11">
        <v>25.592187500001412</v>
      </c>
      <c r="D53" s="11">
        <v>2.4221648012009425</v>
      </c>
      <c r="E53" s="11">
        <v>83.625000000000227</v>
      </c>
      <c r="F53" s="11">
        <v>24.193750000001238</v>
      </c>
      <c r="G53" s="11">
        <v>-8.9599438979348633E-12</v>
      </c>
      <c r="J53" s="11">
        <v>51</v>
      </c>
      <c r="K53" s="11">
        <f t="shared" si="6"/>
        <v>92.250000000000313</v>
      </c>
      <c r="L53" s="11">
        <f t="shared" si="7"/>
        <v>-2.4221648012009425</v>
      </c>
      <c r="M53" s="11">
        <f t="shared" si="8"/>
        <v>25.592187500001412</v>
      </c>
      <c r="N53" s="11">
        <f t="shared" si="9"/>
        <v>83.625000000000227</v>
      </c>
      <c r="O53" s="11">
        <f t="shared" si="10"/>
        <v>8.9599438979348633E-12</v>
      </c>
      <c r="P53" s="11">
        <f t="shared" si="11"/>
        <v>24.193750000001238</v>
      </c>
    </row>
    <row r="54" spans="1:16">
      <c r="A54" s="11">
        <v>52</v>
      </c>
      <c r="B54" s="11">
        <v>100.87500000000023</v>
      </c>
      <c r="C54" s="11">
        <v>24.193750000000264</v>
      </c>
      <c r="D54" s="11">
        <v>-8.9457330432196613E-12</v>
      </c>
      <c r="E54" s="11">
        <v>92.250000000000313</v>
      </c>
      <c r="F54" s="11">
        <v>25.592187500001412</v>
      </c>
      <c r="G54" s="11">
        <v>2.4221648012009425</v>
      </c>
      <c r="J54" s="11">
        <v>52</v>
      </c>
      <c r="K54" s="11">
        <f t="shared" si="6"/>
        <v>100.87500000000023</v>
      </c>
      <c r="L54" s="11">
        <f t="shared" si="7"/>
        <v>8.9457330432196613E-12</v>
      </c>
      <c r="M54" s="11">
        <f t="shared" si="8"/>
        <v>24.193750000000264</v>
      </c>
      <c r="N54" s="11">
        <f t="shared" si="9"/>
        <v>92.250000000000313</v>
      </c>
      <c r="O54" s="11">
        <f t="shared" si="10"/>
        <v>-2.4221648012009425</v>
      </c>
      <c r="P54" s="11">
        <f t="shared" si="11"/>
        <v>25.592187500001412</v>
      </c>
    </row>
    <row r="55" spans="1:16">
      <c r="A55" s="11">
        <v>53</v>
      </c>
      <c r="B55" s="11">
        <v>109.50000000000057</v>
      </c>
      <c r="C55" s="11">
        <v>29.787500000000769</v>
      </c>
      <c r="D55" s="11">
        <v>-6.9775296651641838E-12</v>
      </c>
      <c r="E55" s="11">
        <v>109.50000000000065</v>
      </c>
      <c r="F55" s="11">
        <v>25.592187500000943</v>
      </c>
      <c r="G55" s="11">
        <v>2.4221648012029178</v>
      </c>
      <c r="J55" s="11">
        <v>53</v>
      </c>
      <c r="K55" s="11">
        <f t="shared" si="6"/>
        <v>109.50000000000057</v>
      </c>
      <c r="L55" s="11">
        <f t="shared" si="7"/>
        <v>6.9775296651641838E-12</v>
      </c>
      <c r="M55" s="11">
        <f t="shared" si="8"/>
        <v>29.787500000000769</v>
      </c>
      <c r="N55" s="11">
        <f t="shared" si="9"/>
        <v>109.50000000000065</v>
      </c>
      <c r="O55" s="11">
        <f t="shared" si="10"/>
        <v>-2.4221648012029178</v>
      </c>
      <c r="P55" s="11">
        <f t="shared" si="11"/>
        <v>25.592187500000943</v>
      </c>
    </row>
    <row r="56" spans="1:16">
      <c r="A56" s="11">
        <v>54</v>
      </c>
      <c r="B56" s="11">
        <v>109.5000000000002</v>
      </c>
      <c r="C56" s="11">
        <v>25.592187500001017</v>
      </c>
      <c r="D56" s="11">
        <v>2.4221648012030457</v>
      </c>
      <c r="E56" s="11">
        <v>100.8750000000006</v>
      </c>
      <c r="F56" s="11">
        <v>29.787500000000918</v>
      </c>
      <c r="G56" s="11">
        <v>-7.1196382123162039E-12</v>
      </c>
      <c r="J56" s="11">
        <v>54</v>
      </c>
      <c r="K56" s="11">
        <f t="shared" si="6"/>
        <v>109.5000000000002</v>
      </c>
      <c r="L56" s="11">
        <f t="shared" si="7"/>
        <v>-2.4221648012030457</v>
      </c>
      <c r="M56" s="11">
        <f t="shared" si="8"/>
        <v>25.592187500001017</v>
      </c>
      <c r="N56" s="11">
        <f t="shared" si="9"/>
        <v>100.8750000000006</v>
      </c>
      <c r="O56" s="11">
        <f t="shared" si="10"/>
        <v>7.1196382123162039E-12</v>
      </c>
      <c r="P56" s="11">
        <f t="shared" si="11"/>
        <v>29.787500000000918</v>
      </c>
    </row>
    <row r="57" spans="1:16">
      <c r="A57" s="11">
        <v>55</v>
      </c>
      <c r="B57" s="11">
        <v>118.1250000000006</v>
      </c>
      <c r="C57" s="11">
        <v>29.787500000000918</v>
      </c>
      <c r="D57" s="11">
        <v>-5.4214410738495644E-12</v>
      </c>
      <c r="E57" s="11">
        <v>109.5000000000002</v>
      </c>
      <c r="F57" s="11">
        <v>25.592187500001017</v>
      </c>
      <c r="G57" s="11">
        <v>2.4221648012030457</v>
      </c>
      <c r="J57" s="11">
        <v>55</v>
      </c>
      <c r="K57" s="11">
        <f t="shared" si="6"/>
        <v>118.1250000000006</v>
      </c>
      <c r="L57" s="11">
        <f t="shared" si="7"/>
        <v>5.4214410738495644E-12</v>
      </c>
      <c r="M57" s="11">
        <f t="shared" si="8"/>
        <v>29.787500000000918</v>
      </c>
      <c r="N57" s="11">
        <f t="shared" si="9"/>
        <v>109.5000000000002</v>
      </c>
      <c r="O57" s="11">
        <f t="shared" si="10"/>
        <v>-2.4221648012030457</v>
      </c>
      <c r="P57" s="11">
        <f t="shared" si="11"/>
        <v>25.592187500001017</v>
      </c>
    </row>
    <row r="58" spans="1:16">
      <c r="A58" s="11">
        <v>56</v>
      </c>
      <c r="B58" s="11">
        <v>109.50000000000065</v>
      </c>
      <c r="C58" s="11">
        <v>25.592187500000943</v>
      </c>
      <c r="D58" s="11">
        <v>2.4221648012029178</v>
      </c>
      <c r="E58" s="11">
        <v>100.87500000000057</v>
      </c>
      <c r="F58" s="11">
        <v>24.193750000000769</v>
      </c>
      <c r="G58" s="11">
        <v>-6.9917405198793858E-12</v>
      </c>
      <c r="J58" s="11">
        <v>56</v>
      </c>
      <c r="K58" s="11">
        <f t="shared" si="6"/>
        <v>109.50000000000065</v>
      </c>
      <c r="L58" s="11">
        <f t="shared" si="7"/>
        <v>-2.4221648012029178</v>
      </c>
      <c r="M58" s="11">
        <f t="shared" si="8"/>
        <v>25.592187500000943</v>
      </c>
      <c r="N58" s="11">
        <f t="shared" si="9"/>
        <v>100.87500000000057</v>
      </c>
      <c r="O58" s="11">
        <f t="shared" si="10"/>
        <v>6.9917405198793858E-12</v>
      </c>
      <c r="P58" s="11">
        <f t="shared" si="11"/>
        <v>24.193750000000769</v>
      </c>
    </row>
    <row r="59" spans="1:16">
      <c r="A59" s="11">
        <v>57</v>
      </c>
      <c r="B59" s="11">
        <v>118.12500000000057</v>
      </c>
      <c r="C59" s="11">
        <v>24.193749999999795</v>
      </c>
      <c r="D59" s="11">
        <v>-6.9775296651641838E-12</v>
      </c>
      <c r="E59" s="11">
        <v>109.50000000000065</v>
      </c>
      <c r="F59" s="11">
        <v>25.592187500000943</v>
      </c>
      <c r="G59" s="11">
        <v>2.4221648012029178</v>
      </c>
      <c r="J59" s="11">
        <v>57</v>
      </c>
      <c r="K59" s="11">
        <f t="shared" si="6"/>
        <v>118.12500000000057</v>
      </c>
      <c r="L59" s="11">
        <f t="shared" si="7"/>
        <v>6.9775296651641838E-12</v>
      </c>
      <c r="M59" s="11">
        <f t="shared" si="8"/>
        <v>24.193749999999795</v>
      </c>
      <c r="N59" s="11">
        <f t="shared" si="9"/>
        <v>109.50000000000065</v>
      </c>
      <c r="O59" s="11">
        <f t="shared" si="10"/>
        <v>-2.4221648012029178</v>
      </c>
      <c r="P59" s="11">
        <f t="shared" si="11"/>
        <v>25.592187500000943</v>
      </c>
    </row>
    <row r="60" spans="1:16">
      <c r="A60" s="11">
        <v>58</v>
      </c>
      <c r="B60" s="11">
        <v>126.75000000000026</v>
      </c>
      <c r="C60" s="11">
        <v>29.78750000000062</v>
      </c>
      <c r="D60" s="11">
        <v>-5.1940673984063324E-12</v>
      </c>
      <c r="E60" s="11">
        <v>126.75000000000034</v>
      </c>
      <c r="F60" s="11">
        <v>25.592187500000794</v>
      </c>
      <c r="G60" s="11">
        <v>2.4221648012046941</v>
      </c>
      <c r="J60" s="11">
        <v>58</v>
      </c>
      <c r="K60" s="11">
        <f t="shared" si="6"/>
        <v>126.75000000000026</v>
      </c>
      <c r="L60" s="11">
        <f t="shared" si="7"/>
        <v>5.1940673984063324E-12</v>
      </c>
      <c r="M60" s="11">
        <f t="shared" si="8"/>
        <v>29.78750000000062</v>
      </c>
      <c r="N60" s="11">
        <f t="shared" si="9"/>
        <v>126.75000000000034</v>
      </c>
      <c r="O60" s="11">
        <f t="shared" si="10"/>
        <v>-2.4221648012046941</v>
      </c>
      <c r="P60" s="11">
        <f t="shared" si="11"/>
        <v>25.592187500000794</v>
      </c>
    </row>
    <row r="61" spans="1:16">
      <c r="A61" s="11">
        <v>59</v>
      </c>
      <c r="B61" s="11">
        <v>126.74999999999989</v>
      </c>
      <c r="C61" s="11">
        <v>25.592187500000868</v>
      </c>
      <c r="D61" s="11">
        <v>2.422164801204822</v>
      </c>
      <c r="E61" s="11">
        <v>118.12500000000028</v>
      </c>
      <c r="F61" s="11">
        <v>29.787500000000769</v>
      </c>
      <c r="G61" s="11">
        <v>-5.3361759455583524E-12</v>
      </c>
      <c r="J61" s="11">
        <v>59</v>
      </c>
      <c r="K61" s="11">
        <f t="shared" si="6"/>
        <v>126.74999999999989</v>
      </c>
      <c r="L61" s="11">
        <f t="shared" si="7"/>
        <v>-2.422164801204822</v>
      </c>
      <c r="M61" s="11">
        <f t="shared" si="8"/>
        <v>25.592187500000868</v>
      </c>
      <c r="N61" s="11">
        <f t="shared" si="9"/>
        <v>118.12500000000028</v>
      </c>
      <c r="O61" s="11">
        <f t="shared" si="10"/>
        <v>5.3361759455583524E-12</v>
      </c>
      <c r="P61" s="11">
        <f t="shared" si="11"/>
        <v>29.787500000000769</v>
      </c>
    </row>
    <row r="62" spans="1:16">
      <c r="A62" s="11">
        <v>60</v>
      </c>
      <c r="B62" s="11">
        <v>135.37500000000028</v>
      </c>
      <c r="C62" s="11">
        <v>29.787500000000769</v>
      </c>
      <c r="D62" s="11">
        <v>-3.637978807091713E-12</v>
      </c>
      <c r="E62" s="11">
        <v>126.74999999999989</v>
      </c>
      <c r="F62" s="11">
        <v>25.592187500000868</v>
      </c>
      <c r="G62" s="11">
        <v>2.422164801204822</v>
      </c>
      <c r="J62" s="11">
        <v>60</v>
      </c>
      <c r="K62" s="11">
        <f t="shared" si="6"/>
        <v>135.37500000000028</v>
      </c>
      <c r="L62" s="11">
        <f t="shared" si="7"/>
        <v>3.637978807091713E-12</v>
      </c>
      <c r="M62" s="11">
        <f t="shared" si="8"/>
        <v>29.787500000000769</v>
      </c>
      <c r="N62" s="11">
        <f t="shared" si="9"/>
        <v>126.74999999999989</v>
      </c>
      <c r="O62" s="11">
        <f t="shared" si="10"/>
        <v>-2.422164801204822</v>
      </c>
      <c r="P62" s="11">
        <f t="shared" si="11"/>
        <v>25.592187500000868</v>
      </c>
    </row>
    <row r="63" spans="1:16">
      <c r="A63" s="11">
        <v>61</v>
      </c>
      <c r="B63" s="11">
        <v>126.75000000000034</v>
      </c>
      <c r="C63" s="11">
        <v>25.592187500000794</v>
      </c>
      <c r="D63" s="11">
        <v>2.4221648012046941</v>
      </c>
      <c r="E63" s="11">
        <v>118.12500000000026</v>
      </c>
      <c r="F63" s="11">
        <v>24.19375000000062</v>
      </c>
      <c r="G63" s="11">
        <v>-5.2082782531215344E-12</v>
      </c>
      <c r="J63" s="11">
        <v>61</v>
      </c>
      <c r="K63" s="11">
        <f t="shared" si="6"/>
        <v>126.75000000000034</v>
      </c>
      <c r="L63" s="11">
        <f t="shared" si="7"/>
        <v>-2.4221648012046941</v>
      </c>
      <c r="M63" s="11">
        <f t="shared" si="8"/>
        <v>25.592187500000794</v>
      </c>
      <c r="N63" s="11">
        <f t="shared" si="9"/>
        <v>118.12500000000026</v>
      </c>
      <c r="O63" s="11">
        <f t="shared" si="10"/>
        <v>5.2082782531215344E-12</v>
      </c>
      <c r="P63" s="11">
        <f t="shared" si="11"/>
        <v>24.19375000000062</v>
      </c>
    </row>
    <row r="64" spans="1:16">
      <c r="A64" s="11">
        <v>62</v>
      </c>
      <c r="B64" s="11">
        <v>135.37500000000026</v>
      </c>
      <c r="C64" s="11">
        <v>24.193749999999646</v>
      </c>
      <c r="D64" s="11">
        <v>-5.1940673984063324E-12</v>
      </c>
      <c r="E64" s="11">
        <v>126.75000000000034</v>
      </c>
      <c r="F64" s="11">
        <v>25.592187500000794</v>
      </c>
      <c r="G64" s="11">
        <v>2.4221648012046941</v>
      </c>
      <c r="J64" s="11">
        <v>62</v>
      </c>
      <c r="K64" s="11">
        <f t="shared" si="6"/>
        <v>135.37500000000026</v>
      </c>
      <c r="L64" s="11">
        <f t="shared" si="7"/>
        <v>5.1940673984063324E-12</v>
      </c>
      <c r="M64" s="11">
        <f t="shared" si="8"/>
        <v>24.193749999999646</v>
      </c>
      <c r="N64" s="11">
        <f t="shared" si="9"/>
        <v>126.75000000000034</v>
      </c>
      <c r="O64" s="11">
        <f t="shared" si="10"/>
        <v>-2.4221648012046941</v>
      </c>
      <c r="P64" s="11">
        <f t="shared" si="11"/>
        <v>25.592187500000794</v>
      </c>
    </row>
    <row r="65" spans="1:16">
      <c r="A65" s="11">
        <v>63</v>
      </c>
      <c r="B65" s="11">
        <v>144.00000000000057</v>
      </c>
      <c r="C65" s="11">
        <v>29.787500000000165</v>
      </c>
      <c r="D65" s="11">
        <v>-3.2365221613872563E-12</v>
      </c>
      <c r="E65" s="11">
        <v>144.00000000000065</v>
      </c>
      <c r="F65" s="11">
        <v>25.592187500000339</v>
      </c>
      <c r="G65" s="11">
        <v>2.4221648012066552</v>
      </c>
      <c r="J65" s="11">
        <v>63</v>
      </c>
      <c r="K65" s="11">
        <f t="shared" si="6"/>
        <v>144.00000000000057</v>
      </c>
      <c r="L65" s="11">
        <f t="shared" si="7"/>
        <v>3.2365221613872563E-12</v>
      </c>
      <c r="M65" s="11">
        <f t="shared" si="8"/>
        <v>29.787500000000165</v>
      </c>
      <c r="N65" s="11">
        <f t="shared" si="9"/>
        <v>144.00000000000065</v>
      </c>
      <c r="O65" s="11">
        <f t="shared" si="10"/>
        <v>-2.4221648012066552</v>
      </c>
      <c r="P65" s="11">
        <f t="shared" si="11"/>
        <v>25.592187500000339</v>
      </c>
    </row>
    <row r="66" spans="1:16">
      <c r="A66" s="11">
        <v>64</v>
      </c>
      <c r="B66" s="11">
        <v>144.0000000000002</v>
      </c>
      <c r="C66" s="11">
        <v>25.592187500000414</v>
      </c>
      <c r="D66" s="11">
        <v>2.4221648012067831</v>
      </c>
      <c r="E66" s="11">
        <v>135.3750000000006</v>
      </c>
      <c r="F66" s="11">
        <v>29.787500000000314</v>
      </c>
      <c r="G66" s="11">
        <v>-3.3786307085392764E-12</v>
      </c>
      <c r="J66" s="11">
        <v>64</v>
      </c>
      <c r="K66" s="11">
        <f t="shared" si="6"/>
        <v>144.0000000000002</v>
      </c>
      <c r="L66" s="11">
        <f t="shared" si="7"/>
        <v>-2.4221648012067831</v>
      </c>
      <c r="M66" s="11">
        <f t="shared" si="8"/>
        <v>25.592187500000414</v>
      </c>
      <c r="N66" s="11">
        <f t="shared" si="9"/>
        <v>135.3750000000006</v>
      </c>
      <c r="O66" s="11">
        <f t="shared" si="10"/>
        <v>3.3786307085392764E-12</v>
      </c>
      <c r="P66" s="11">
        <f t="shared" si="11"/>
        <v>29.787500000000314</v>
      </c>
    </row>
    <row r="67" spans="1:16">
      <c r="A67" s="11">
        <v>65</v>
      </c>
      <c r="B67" s="11">
        <v>152.6250000000006</v>
      </c>
      <c r="C67" s="11">
        <v>29.787500000000314</v>
      </c>
      <c r="D67" s="11">
        <v>-1.6804335700726369E-12</v>
      </c>
      <c r="E67" s="11">
        <v>144.0000000000002</v>
      </c>
      <c r="F67" s="11">
        <v>25.592187500000414</v>
      </c>
      <c r="G67" s="11">
        <v>2.4221648012067831</v>
      </c>
      <c r="J67" s="11">
        <v>65</v>
      </c>
      <c r="K67" s="11">
        <f t="shared" si="6"/>
        <v>152.6250000000006</v>
      </c>
      <c r="L67" s="11">
        <f t="shared" si="7"/>
        <v>1.6804335700726369E-12</v>
      </c>
      <c r="M67" s="11">
        <f t="shared" si="8"/>
        <v>29.787500000000314</v>
      </c>
      <c r="N67" s="11">
        <f t="shared" si="9"/>
        <v>144.0000000000002</v>
      </c>
      <c r="O67" s="11">
        <f t="shared" si="10"/>
        <v>-2.4221648012067831</v>
      </c>
      <c r="P67" s="11">
        <f t="shared" si="11"/>
        <v>25.592187500000414</v>
      </c>
    </row>
    <row r="68" spans="1:16">
      <c r="A68" s="11">
        <v>66</v>
      </c>
      <c r="B68" s="11">
        <v>144.00000000000065</v>
      </c>
      <c r="C68" s="11">
        <v>25.592187500000339</v>
      </c>
      <c r="D68" s="11">
        <v>2.4221648012066552</v>
      </c>
      <c r="E68" s="11">
        <v>135.37500000000057</v>
      </c>
      <c r="F68" s="11">
        <v>24.193750000000165</v>
      </c>
      <c r="G68" s="11">
        <v>-3.2507330161024584E-12</v>
      </c>
      <c r="J68" s="11">
        <v>66</v>
      </c>
      <c r="K68" s="11">
        <f t="shared" ref="K68:K131" si="12">$Y$11*B68+$Z$11*C68+$AA$11*D68</f>
        <v>144.00000000000065</v>
      </c>
      <c r="L68" s="11">
        <f t="shared" ref="L68:L131" si="13">$Y$12*B68+$Z$12*C68+$AA$12*D68</f>
        <v>-2.4221648012066552</v>
      </c>
      <c r="M68" s="11">
        <f t="shared" ref="M68:M131" si="14">$Y$13*B68+$Z$13*C68+$AA$13*D68</f>
        <v>25.592187500000339</v>
      </c>
      <c r="N68" s="11">
        <f t="shared" ref="N68:N131" si="15">$Y$11*E68+$Z$11*F68+$AA$11*G68</f>
        <v>135.37500000000057</v>
      </c>
      <c r="O68" s="11">
        <f t="shared" ref="O68:O131" si="16">$Y$12*E68+$Z$12*F68+$AA$12*G68</f>
        <v>3.2507330161024584E-12</v>
      </c>
      <c r="P68" s="11">
        <f t="shared" ref="P68:P131" si="17">$Y$13*E68+$Z$13*F68+$AA$13*G68</f>
        <v>24.193750000000165</v>
      </c>
    </row>
    <row r="69" spans="1:16">
      <c r="A69" s="11">
        <v>67</v>
      </c>
      <c r="B69" s="11">
        <v>152.62500000000057</v>
      </c>
      <c r="C69" s="11">
        <v>24.193749999999191</v>
      </c>
      <c r="D69" s="11">
        <v>-3.2365221613872563E-12</v>
      </c>
      <c r="E69" s="11">
        <v>144.00000000000065</v>
      </c>
      <c r="F69" s="11">
        <v>25.592187500000339</v>
      </c>
      <c r="G69" s="11">
        <v>2.4221648012066552</v>
      </c>
      <c r="J69" s="11">
        <v>67</v>
      </c>
      <c r="K69" s="11">
        <f t="shared" si="12"/>
        <v>152.62500000000057</v>
      </c>
      <c r="L69" s="11">
        <f t="shared" si="13"/>
        <v>3.2365221613872563E-12</v>
      </c>
      <c r="M69" s="11">
        <f t="shared" si="14"/>
        <v>24.193749999999191</v>
      </c>
      <c r="N69" s="11">
        <f t="shared" si="15"/>
        <v>144.00000000000065</v>
      </c>
      <c r="O69" s="11">
        <f t="shared" si="16"/>
        <v>-2.4221648012066552</v>
      </c>
      <c r="P69" s="11">
        <f t="shared" si="17"/>
        <v>25.592187500000339</v>
      </c>
    </row>
    <row r="70" spans="1:16">
      <c r="A70" s="11">
        <v>68</v>
      </c>
      <c r="B70" s="11">
        <v>161.25000000000026</v>
      </c>
      <c r="C70" s="11">
        <v>29.787500000000016</v>
      </c>
      <c r="D70" s="11">
        <v>-1.4530598946294049E-12</v>
      </c>
      <c r="E70" s="11">
        <v>161.25000000000034</v>
      </c>
      <c r="F70" s="11">
        <v>25.59218750000019</v>
      </c>
      <c r="G70" s="11">
        <v>2.4221648012084387</v>
      </c>
      <c r="J70" s="11">
        <v>68</v>
      </c>
      <c r="K70" s="11">
        <f t="shared" si="12"/>
        <v>161.25000000000026</v>
      </c>
      <c r="L70" s="11">
        <f t="shared" si="13"/>
        <v>1.4530598946294049E-12</v>
      </c>
      <c r="M70" s="11">
        <f t="shared" si="14"/>
        <v>29.787500000000016</v>
      </c>
      <c r="N70" s="11">
        <f t="shared" si="15"/>
        <v>161.25000000000034</v>
      </c>
      <c r="O70" s="11">
        <f t="shared" si="16"/>
        <v>-2.4221648012084387</v>
      </c>
      <c r="P70" s="11">
        <f t="shared" si="17"/>
        <v>25.59218750000019</v>
      </c>
    </row>
    <row r="71" spans="1:16">
      <c r="A71" s="11">
        <v>69</v>
      </c>
      <c r="B71" s="11">
        <v>161.24999999999989</v>
      </c>
      <c r="C71" s="11">
        <v>25.592187500000264</v>
      </c>
      <c r="D71" s="11">
        <v>2.4221648012085666</v>
      </c>
      <c r="E71" s="11">
        <v>152.62500000000028</v>
      </c>
      <c r="F71" s="11">
        <v>29.787500000000165</v>
      </c>
      <c r="G71" s="11">
        <v>-1.5951684417814249E-12</v>
      </c>
      <c r="J71" s="11">
        <v>69</v>
      </c>
      <c r="K71" s="11">
        <f t="shared" si="12"/>
        <v>161.24999999999989</v>
      </c>
      <c r="L71" s="11">
        <f t="shared" si="13"/>
        <v>-2.4221648012085666</v>
      </c>
      <c r="M71" s="11">
        <f t="shared" si="14"/>
        <v>25.592187500000264</v>
      </c>
      <c r="N71" s="11">
        <f t="shared" si="15"/>
        <v>152.62500000000028</v>
      </c>
      <c r="O71" s="11">
        <f t="shared" si="16"/>
        <v>1.5951684417814249E-12</v>
      </c>
      <c r="P71" s="11">
        <f t="shared" si="17"/>
        <v>29.787500000000165</v>
      </c>
    </row>
    <row r="72" spans="1:16">
      <c r="A72" s="11">
        <v>70</v>
      </c>
      <c r="B72" s="11">
        <v>169.87500000000028</v>
      </c>
      <c r="C72" s="11">
        <v>29.787500000000165</v>
      </c>
      <c r="D72" s="11">
        <v>9.9475983006414026E-14</v>
      </c>
      <c r="E72" s="11">
        <v>161.24999999999989</v>
      </c>
      <c r="F72" s="11">
        <v>25.592187500000264</v>
      </c>
      <c r="G72" s="11">
        <v>2.4221648012085666</v>
      </c>
      <c r="J72" s="11">
        <v>70</v>
      </c>
      <c r="K72" s="11">
        <f t="shared" si="12"/>
        <v>169.87500000000028</v>
      </c>
      <c r="L72" s="11">
        <f t="shared" si="13"/>
        <v>-9.9475983006414026E-14</v>
      </c>
      <c r="M72" s="11">
        <f t="shared" si="14"/>
        <v>29.787500000000165</v>
      </c>
      <c r="N72" s="11">
        <f t="shared" si="15"/>
        <v>161.24999999999989</v>
      </c>
      <c r="O72" s="11">
        <f t="shared" si="16"/>
        <v>-2.4221648012085666</v>
      </c>
      <c r="P72" s="11">
        <f t="shared" si="17"/>
        <v>25.592187500000264</v>
      </c>
    </row>
    <row r="73" spans="1:16">
      <c r="A73" s="11">
        <v>71</v>
      </c>
      <c r="B73" s="11">
        <v>161.25000000000034</v>
      </c>
      <c r="C73" s="11">
        <v>25.59218750000019</v>
      </c>
      <c r="D73" s="11">
        <v>2.4221648012084387</v>
      </c>
      <c r="E73" s="11">
        <v>152.62500000000026</v>
      </c>
      <c r="F73" s="11">
        <v>24.193750000000016</v>
      </c>
      <c r="G73" s="11">
        <v>-1.4672707493446069E-12</v>
      </c>
      <c r="J73" s="11">
        <v>71</v>
      </c>
      <c r="K73" s="11">
        <f t="shared" si="12"/>
        <v>161.25000000000034</v>
      </c>
      <c r="L73" s="11">
        <f t="shared" si="13"/>
        <v>-2.4221648012084387</v>
      </c>
      <c r="M73" s="11">
        <f t="shared" si="14"/>
        <v>25.59218750000019</v>
      </c>
      <c r="N73" s="11">
        <f t="shared" si="15"/>
        <v>152.62500000000026</v>
      </c>
      <c r="O73" s="11">
        <f t="shared" si="16"/>
        <v>1.4672707493446069E-12</v>
      </c>
      <c r="P73" s="11">
        <f t="shared" si="17"/>
        <v>24.193750000000016</v>
      </c>
    </row>
    <row r="74" spans="1:16">
      <c r="A74" s="11">
        <v>72</v>
      </c>
      <c r="B74" s="11">
        <v>169.87500000000026</v>
      </c>
      <c r="C74" s="11">
        <v>24.193749999999042</v>
      </c>
      <c r="D74" s="11">
        <v>-1.4530598946294049E-12</v>
      </c>
      <c r="E74" s="11">
        <v>161.25000000000034</v>
      </c>
      <c r="F74" s="11">
        <v>25.59218750000019</v>
      </c>
      <c r="G74" s="11">
        <v>2.4221648012084387</v>
      </c>
      <c r="J74" s="11">
        <v>72</v>
      </c>
      <c r="K74" s="11">
        <f t="shared" si="12"/>
        <v>169.87500000000026</v>
      </c>
      <c r="L74" s="11">
        <f t="shared" si="13"/>
        <v>1.4530598946294049E-12</v>
      </c>
      <c r="M74" s="11">
        <f t="shared" si="14"/>
        <v>24.193749999999042</v>
      </c>
      <c r="N74" s="11">
        <f t="shared" si="15"/>
        <v>161.25000000000034</v>
      </c>
      <c r="O74" s="11">
        <f t="shared" si="16"/>
        <v>-2.4221648012084387</v>
      </c>
      <c r="P74" s="11">
        <f t="shared" si="17"/>
        <v>25.59218750000019</v>
      </c>
    </row>
    <row r="75" spans="1:16">
      <c r="A75" s="11">
        <v>73</v>
      </c>
      <c r="B75" s="11">
        <v>178.49999999999994</v>
      </c>
      <c r="C75" s="11">
        <v>29.787500000000012</v>
      </c>
      <c r="D75" s="11">
        <v>2.4158453015843406E-13</v>
      </c>
      <c r="E75" s="11">
        <v>178.50000000000003</v>
      </c>
      <c r="F75" s="11">
        <v>25.592187500000186</v>
      </c>
      <c r="G75" s="11">
        <v>2.4221648012101369</v>
      </c>
      <c r="J75" s="11">
        <v>73</v>
      </c>
      <c r="K75" s="11">
        <f t="shared" si="12"/>
        <v>178.49999999999994</v>
      </c>
      <c r="L75" s="11">
        <f t="shared" si="13"/>
        <v>-2.4158453015843406E-13</v>
      </c>
      <c r="M75" s="11">
        <f t="shared" si="14"/>
        <v>29.787500000000012</v>
      </c>
      <c r="N75" s="11">
        <f t="shared" si="15"/>
        <v>178.50000000000003</v>
      </c>
      <c r="O75" s="11">
        <f t="shared" si="16"/>
        <v>-2.4221648012101369</v>
      </c>
      <c r="P75" s="11">
        <f t="shared" si="17"/>
        <v>25.592187500000186</v>
      </c>
    </row>
    <row r="76" spans="1:16">
      <c r="A76" s="11">
        <v>74</v>
      </c>
      <c r="B76" s="11">
        <v>178.49999999999957</v>
      </c>
      <c r="C76" s="11">
        <v>25.592187500000261</v>
      </c>
      <c r="D76" s="11">
        <v>2.4221648012102648</v>
      </c>
      <c r="E76" s="11">
        <v>169.87499999999997</v>
      </c>
      <c r="F76" s="11">
        <v>29.787500000000161</v>
      </c>
      <c r="G76" s="11">
        <v>9.9475983006414026E-14</v>
      </c>
      <c r="J76" s="11">
        <v>74</v>
      </c>
      <c r="K76" s="11">
        <f t="shared" si="12"/>
        <v>178.49999999999957</v>
      </c>
      <c r="L76" s="11">
        <f t="shared" si="13"/>
        <v>-2.4221648012102648</v>
      </c>
      <c r="M76" s="11">
        <f t="shared" si="14"/>
        <v>25.592187500000261</v>
      </c>
      <c r="N76" s="11">
        <f t="shared" si="15"/>
        <v>169.87499999999997</v>
      </c>
      <c r="O76" s="11">
        <f t="shared" si="16"/>
        <v>-9.9475983006414026E-14</v>
      </c>
      <c r="P76" s="11">
        <f t="shared" si="17"/>
        <v>29.787500000000161</v>
      </c>
    </row>
    <row r="77" spans="1:16">
      <c r="A77" s="11">
        <v>75</v>
      </c>
      <c r="B77" s="11">
        <v>187.12499999999997</v>
      </c>
      <c r="C77" s="11">
        <v>29.787500000000161</v>
      </c>
      <c r="D77" s="11">
        <v>1.7976731214730535E-12</v>
      </c>
      <c r="E77" s="11">
        <v>178.49999999999957</v>
      </c>
      <c r="F77" s="11">
        <v>25.592187500000261</v>
      </c>
      <c r="G77" s="11">
        <v>2.4221648012102648</v>
      </c>
      <c r="J77" s="11">
        <v>75</v>
      </c>
      <c r="K77" s="11">
        <f t="shared" si="12"/>
        <v>187.12499999999997</v>
      </c>
      <c r="L77" s="11">
        <f t="shared" si="13"/>
        <v>-1.7976731214730535E-12</v>
      </c>
      <c r="M77" s="11">
        <f t="shared" si="14"/>
        <v>29.787500000000161</v>
      </c>
      <c r="N77" s="11">
        <f t="shared" si="15"/>
        <v>178.49999999999957</v>
      </c>
      <c r="O77" s="11">
        <f t="shared" si="16"/>
        <v>-2.4221648012102648</v>
      </c>
      <c r="P77" s="11">
        <f t="shared" si="17"/>
        <v>25.592187500000261</v>
      </c>
    </row>
    <row r="78" spans="1:16">
      <c r="A78" s="11">
        <v>76</v>
      </c>
      <c r="B78" s="11">
        <v>178.50000000000003</v>
      </c>
      <c r="C78" s="11">
        <v>25.592187500000186</v>
      </c>
      <c r="D78" s="11">
        <v>2.4221648012101369</v>
      </c>
      <c r="E78" s="11">
        <v>169.87499999999994</v>
      </c>
      <c r="F78" s="11">
        <v>24.193750000000012</v>
      </c>
      <c r="G78" s="11">
        <v>2.2737367544323206E-13</v>
      </c>
      <c r="J78" s="11">
        <v>76</v>
      </c>
      <c r="K78" s="11">
        <f t="shared" si="12"/>
        <v>178.50000000000003</v>
      </c>
      <c r="L78" s="11">
        <f t="shared" si="13"/>
        <v>-2.4221648012101369</v>
      </c>
      <c r="M78" s="11">
        <f t="shared" si="14"/>
        <v>25.592187500000186</v>
      </c>
      <c r="N78" s="11">
        <f t="shared" si="15"/>
        <v>169.87499999999994</v>
      </c>
      <c r="O78" s="11">
        <f t="shared" si="16"/>
        <v>-2.2737367544323206E-13</v>
      </c>
      <c r="P78" s="11">
        <f t="shared" si="17"/>
        <v>24.193750000000012</v>
      </c>
    </row>
    <row r="79" spans="1:16">
      <c r="A79" s="11">
        <v>77</v>
      </c>
      <c r="B79" s="11">
        <v>187.12499999999994</v>
      </c>
      <c r="C79" s="11">
        <v>24.193749999999039</v>
      </c>
      <c r="D79" s="11">
        <v>2.4158453015843406E-13</v>
      </c>
      <c r="E79" s="11">
        <v>178.50000000000003</v>
      </c>
      <c r="F79" s="11">
        <v>25.592187500000186</v>
      </c>
      <c r="G79" s="11">
        <v>2.4221648012101369</v>
      </c>
      <c r="J79" s="11">
        <v>77</v>
      </c>
      <c r="K79" s="11">
        <f t="shared" si="12"/>
        <v>187.12499999999994</v>
      </c>
      <c r="L79" s="11">
        <f t="shared" si="13"/>
        <v>-2.4158453015843406E-13</v>
      </c>
      <c r="M79" s="11">
        <f t="shared" si="14"/>
        <v>24.193749999999039</v>
      </c>
      <c r="N79" s="11">
        <f t="shared" si="15"/>
        <v>178.50000000000003</v>
      </c>
      <c r="O79" s="11">
        <f t="shared" si="16"/>
        <v>-2.4221648012101369</v>
      </c>
      <c r="P79" s="11">
        <f t="shared" si="17"/>
        <v>25.592187500000186</v>
      </c>
    </row>
    <row r="80" spans="1:16">
      <c r="A80" s="11">
        <v>78</v>
      </c>
      <c r="B80" s="11">
        <v>230.25000000000028</v>
      </c>
      <c r="C80" s="11">
        <v>29.787500000000012</v>
      </c>
      <c r="D80" s="11">
        <v>-31.999999999998536</v>
      </c>
      <c r="E80" s="11">
        <v>230.25000000000037</v>
      </c>
      <c r="F80" s="11">
        <v>25.592187500000186</v>
      </c>
      <c r="G80" s="11">
        <v>-34.422164801208432</v>
      </c>
      <c r="J80" s="11">
        <v>78</v>
      </c>
      <c r="K80" s="11">
        <f t="shared" si="12"/>
        <v>230.25000000000028</v>
      </c>
      <c r="L80" s="11">
        <f t="shared" si="13"/>
        <v>31.999999999998536</v>
      </c>
      <c r="M80" s="11">
        <f t="shared" si="14"/>
        <v>29.787500000000012</v>
      </c>
      <c r="N80" s="11">
        <f t="shared" si="15"/>
        <v>230.25000000000037</v>
      </c>
      <c r="O80" s="11">
        <f t="shared" si="16"/>
        <v>34.422164801208432</v>
      </c>
      <c r="P80" s="11">
        <f t="shared" si="17"/>
        <v>25.592187500000186</v>
      </c>
    </row>
    <row r="81" spans="1:16">
      <c r="A81" s="11">
        <v>79</v>
      </c>
      <c r="B81" s="11">
        <v>230.24999999999991</v>
      </c>
      <c r="C81" s="11">
        <v>25.592187500000261</v>
      </c>
      <c r="D81" s="11">
        <v>-34.422164801208559</v>
      </c>
      <c r="E81" s="11">
        <v>221.62500000000031</v>
      </c>
      <c r="F81" s="11">
        <v>29.787500000000161</v>
      </c>
      <c r="G81" s="11">
        <v>-31.999999999998408</v>
      </c>
      <c r="J81" s="11">
        <v>79</v>
      </c>
      <c r="K81" s="11">
        <f t="shared" si="12"/>
        <v>230.24999999999991</v>
      </c>
      <c r="L81" s="11">
        <f t="shared" si="13"/>
        <v>34.422164801208559</v>
      </c>
      <c r="M81" s="11">
        <f t="shared" si="14"/>
        <v>25.592187500000261</v>
      </c>
      <c r="N81" s="11">
        <f t="shared" si="15"/>
        <v>221.62500000000031</v>
      </c>
      <c r="O81" s="11">
        <f t="shared" si="16"/>
        <v>31.999999999998408</v>
      </c>
      <c r="P81" s="11">
        <f t="shared" si="17"/>
        <v>29.787500000000161</v>
      </c>
    </row>
    <row r="82" spans="1:16">
      <c r="A82" s="11">
        <v>80</v>
      </c>
      <c r="B82" s="11">
        <v>238.87500000000031</v>
      </c>
      <c r="C82" s="11">
        <v>29.787500000000161</v>
      </c>
      <c r="D82" s="11">
        <v>-32.000000000000078</v>
      </c>
      <c r="E82" s="11">
        <v>230.24999999999991</v>
      </c>
      <c r="F82" s="11">
        <v>25.592187500000261</v>
      </c>
      <c r="G82" s="11">
        <v>-34.422164801208559</v>
      </c>
      <c r="J82" s="11">
        <v>80</v>
      </c>
      <c r="K82" s="11">
        <f t="shared" si="12"/>
        <v>238.87500000000031</v>
      </c>
      <c r="L82" s="11">
        <f t="shared" si="13"/>
        <v>32.000000000000078</v>
      </c>
      <c r="M82" s="11">
        <f t="shared" si="14"/>
        <v>29.787500000000161</v>
      </c>
      <c r="N82" s="11">
        <f t="shared" si="15"/>
        <v>230.24999999999991</v>
      </c>
      <c r="O82" s="11">
        <f t="shared" si="16"/>
        <v>34.422164801208559</v>
      </c>
      <c r="P82" s="11">
        <f t="shared" si="17"/>
        <v>25.592187500000261</v>
      </c>
    </row>
    <row r="83" spans="1:16">
      <c r="A83" s="11">
        <v>81</v>
      </c>
      <c r="B83" s="11">
        <v>230.25000000000037</v>
      </c>
      <c r="C83" s="11">
        <v>25.592187500000186</v>
      </c>
      <c r="D83" s="11">
        <v>-34.422164801208432</v>
      </c>
      <c r="E83" s="11">
        <v>221.62500000000028</v>
      </c>
      <c r="F83" s="11">
        <v>24.193750000000012</v>
      </c>
      <c r="G83" s="11">
        <v>-31.999999999998536</v>
      </c>
      <c r="J83" s="11">
        <v>81</v>
      </c>
      <c r="K83" s="11">
        <f t="shared" si="12"/>
        <v>230.25000000000037</v>
      </c>
      <c r="L83" s="11">
        <f t="shared" si="13"/>
        <v>34.422164801208432</v>
      </c>
      <c r="M83" s="11">
        <f t="shared" si="14"/>
        <v>25.592187500000186</v>
      </c>
      <c r="N83" s="11">
        <f t="shared" si="15"/>
        <v>221.62500000000028</v>
      </c>
      <c r="O83" s="11">
        <f t="shared" si="16"/>
        <v>31.999999999998536</v>
      </c>
      <c r="P83" s="11">
        <f t="shared" si="17"/>
        <v>24.193750000000012</v>
      </c>
    </row>
    <row r="84" spans="1:16">
      <c r="A84" s="11">
        <v>82</v>
      </c>
      <c r="B84" s="11">
        <v>238.87500000000028</v>
      </c>
      <c r="C84" s="11">
        <v>24.193749999999039</v>
      </c>
      <c r="D84" s="11">
        <v>-31.999999999998522</v>
      </c>
      <c r="E84" s="11">
        <v>230.25000000000037</v>
      </c>
      <c r="F84" s="11">
        <v>25.592187500000186</v>
      </c>
      <c r="G84" s="11">
        <v>-34.422164801208432</v>
      </c>
      <c r="J84" s="11">
        <v>82</v>
      </c>
      <c r="K84" s="11">
        <f t="shared" si="12"/>
        <v>238.87500000000028</v>
      </c>
      <c r="L84" s="11">
        <f t="shared" si="13"/>
        <v>31.999999999998522</v>
      </c>
      <c r="M84" s="11">
        <f t="shared" si="14"/>
        <v>24.193749999999039</v>
      </c>
      <c r="N84" s="11">
        <f t="shared" si="15"/>
        <v>230.25000000000037</v>
      </c>
      <c r="O84" s="11">
        <f t="shared" si="16"/>
        <v>34.422164801208432</v>
      </c>
      <c r="P84" s="11">
        <f t="shared" si="17"/>
        <v>25.592187500000186</v>
      </c>
    </row>
    <row r="85" spans="1:16">
      <c r="A85" s="11">
        <v>83</v>
      </c>
      <c r="B85" s="11">
        <v>213.00000000000028</v>
      </c>
      <c r="C85" s="11">
        <v>29.787500000000012</v>
      </c>
      <c r="D85" s="11">
        <v>-31.999999999998984</v>
      </c>
      <c r="E85" s="11">
        <v>213.00000000000037</v>
      </c>
      <c r="F85" s="11">
        <v>25.592187500000186</v>
      </c>
      <c r="G85" s="11">
        <v>-34.422164801208879</v>
      </c>
      <c r="J85" s="11">
        <v>83</v>
      </c>
      <c r="K85" s="11">
        <f t="shared" si="12"/>
        <v>213.00000000000028</v>
      </c>
      <c r="L85" s="11">
        <f t="shared" si="13"/>
        <v>31.999999999998984</v>
      </c>
      <c r="M85" s="11">
        <f t="shared" si="14"/>
        <v>29.787500000000012</v>
      </c>
      <c r="N85" s="11">
        <f t="shared" si="15"/>
        <v>213.00000000000037</v>
      </c>
      <c r="O85" s="11">
        <f t="shared" si="16"/>
        <v>34.422164801208879</v>
      </c>
      <c r="P85" s="11">
        <f t="shared" si="17"/>
        <v>25.592187500000186</v>
      </c>
    </row>
    <row r="86" spans="1:16">
      <c r="A86" s="11">
        <v>84</v>
      </c>
      <c r="B86" s="11">
        <v>212.99999999999991</v>
      </c>
      <c r="C86" s="11">
        <v>25.592187500000261</v>
      </c>
      <c r="D86" s="11">
        <v>-34.422164801209007</v>
      </c>
      <c r="E86" s="11">
        <v>204.37500000000031</v>
      </c>
      <c r="F86" s="11">
        <v>29.787500000000161</v>
      </c>
      <c r="G86" s="11">
        <v>-31.999999999998856</v>
      </c>
      <c r="J86" s="11">
        <v>84</v>
      </c>
      <c r="K86" s="11">
        <f t="shared" si="12"/>
        <v>212.99999999999991</v>
      </c>
      <c r="L86" s="11">
        <f t="shared" si="13"/>
        <v>34.422164801209007</v>
      </c>
      <c r="M86" s="11">
        <f t="shared" si="14"/>
        <v>25.592187500000261</v>
      </c>
      <c r="N86" s="11">
        <f t="shared" si="15"/>
        <v>204.37500000000031</v>
      </c>
      <c r="O86" s="11">
        <f t="shared" si="16"/>
        <v>31.999999999998856</v>
      </c>
      <c r="P86" s="11">
        <f t="shared" si="17"/>
        <v>29.787500000000161</v>
      </c>
    </row>
    <row r="87" spans="1:16">
      <c r="A87" s="11">
        <v>85</v>
      </c>
      <c r="B87" s="11">
        <v>221.62500000000031</v>
      </c>
      <c r="C87" s="11">
        <v>29.787500000000161</v>
      </c>
      <c r="D87" s="11">
        <v>-32.000000000000526</v>
      </c>
      <c r="E87" s="11">
        <v>212.99999999999991</v>
      </c>
      <c r="F87" s="11">
        <v>25.592187500000261</v>
      </c>
      <c r="G87" s="11">
        <v>-34.422164801209007</v>
      </c>
      <c r="J87" s="11">
        <v>85</v>
      </c>
      <c r="K87" s="11">
        <f t="shared" si="12"/>
        <v>221.62500000000031</v>
      </c>
      <c r="L87" s="11">
        <f t="shared" si="13"/>
        <v>32.000000000000526</v>
      </c>
      <c r="M87" s="11">
        <f t="shared" si="14"/>
        <v>29.787500000000161</v>
      </c>
      <c r="N87" s="11">
        <f t="shared" si="15"/>
        <v>212.99999999999991</v>
      </c>
      <c r="O87" s="11">
        <f t="shared" si="16"/>
        <v>34.422164801209007</v>
      </c>
      <c r="P87" s="11">
        <f t="shared" si="17"/>
        <v>25.592187500000261</v>
      </c>
    </row>
    <row r="88" spans="1:16">
      <c r="A88" s="11">
        <v>86</v>
      </c>
      <c r="B88" s="11">
        <v>213.00000000000037</v>
      </c>
      <c r="C88" s="11">
        <v>25.592187500000186</v>
      </c>
      <c r="D88" s="11">
        <v>-34.422164801208879</v>
      </c>
      <c r="E88" s="11">
        <v>204.37500000000028</v>
      </c>
      <c r="F88" s="11">
        <v>24.193750000000012</v>
      </c>
      <c r="G88" s="11">
        <v>-31.999999999998984</v>
      </c>
      <c r="J88" s="11">
        <v>86</v>
      </c>
      <c r="K88" s="11">
        <f t="shared" si="12"/>
        <v>213.00000000000037</v>
      </c>
      <c r="L88" s="11">
        <f t="shared" si="13"/>
        <v>34.422164801208879</v>
      </c>
      <c r="M88" s="11">
        <f t="shared" si="14"/>
        <v>25.592187500000186</v>
      </c>
      <c r="N88" s="11">
        <f t="shared" si="15"/>
        <v>204.37500000000028</v>
      </c>
      <c r="O88" s="11">
        <f t="shared" si="16"/>
        <v>31.999999999998984</v>
      </c>
      <c r="P88" s="11">
        <f t="shared" si="17"/>
        <v>24.193750000000012</v>
      </c>
    </row>
    <row r="89" spans="1:16">
      <c r="A89" s="11">
        <v>87</v>
      </c>
      <c r="B89" s="11">
        <v>221.62500000000028</v>
      </c>
      <c r="C89" s="11">
        <v>24.193749999999039</v>
      </c>
      <c r="D89" s="11">
        <v>-31.99999999999897</v>
      </c>
      <c r="E89" s="11">
        <v>213.00000000000037</v>
      </c>
      <c r="F89" s="11">
        <v>25.592187500000186</v>
      </c>
      <c r="G89" s="11">
        <v>-34.422164801208879</v>
      </c>
      <c r="J89" s="11">
        <v>87</v>
      </c>
      <c r="K89" s="11">
        <f t="shared" si="12"/>
        <v>221.62500000000028</v>
      </c>
      <c r="L89" s="11">
        <f t="shared" si="13"/>
        <v>31.99999999999897</v>
      </c>
      <c r="M89" s="11">
        <f t="shared" si="14"/>
        <v>24.193749999999039</v>
      </c>
      <c r="N89" s="11">
        <f t="shared" si="15"/>
        <v>213.00000000000037</v>
      </c>
      <c r="O89" s="11">
        <f t="shared" si="16"/>
        <v>34.422164801208879</v>
      </c>
      <c r="P89" s="11">
        <f t="shared" si="17"/>
        <v>25.592187500000186</v>
      </c>
    </row>
    <row r="90" spans="1:16">
      <c r="A90" s="11">
        <v>88</v>
      </c>
      <c r="B90" s="11">
        <v>195.75000000000028</v>
      </c>
      <c r="C90" s="11">
        <v>29.787500000000161</v>
      </c>
      <c r="D90" s="11">
        <v>-31.999999999999389</v>
      </c>
      <c r="E90" s="11">
        <v>195.75000000000037</v>
      </c>
      <c r="F90" s="11">
        <v>25.592187500000335</v>
      </c>
      <c r="G90" s="11">
        <v>-34.422164801209284</v>
      </c>
      <c r="J90" s="11">
        <v>88</v>
      </c>
      <c r="K90" s="11">
        <f t="shared" si="12"/>
        <v>195.75000000000028</v>
      </c>
      <c r="L90" s="11">
        <f t="shared" si="13"/>
        <v>31.999999999999389</v>
      </c>
      <c r="M90" s="11">
        <f t="shared" si="14"/>
        <v>29.787500000000161</v>
      </c>
      <c r="N90" s="11">
        <f t="shared" si="15"/>
        <v>195.75000000000037</v>
      </c>
      <c r="O90" s="11">
        <f t="shared" si="16"/>
        <v>34.422164801209284</v>
      </c>
      <c r="P90" s="11">
        <f t="shared" si="17"/>
        <v>25.592187500000335</v>
      </c>
    </row>
    <row r="91" spans="1:16">
      <c r="A91" s="11">
        <v>89</v>
      </c>
      <c r="B91" s="11">
        <v>195.74999999999991</v>
      </c>
      <c r="C91" s="11">
        <v>25.59218750000041</v>
      </c>
      <c r="D91" s="11">
        <v>-34.422164801209412</v>
      </c>
      <c r="E91" s="11">
        <v>187.12500000000031</v>
      </c>
      <c r="F91" s="11">
        <v>29.787500000000311</v>
      </c>
      <c r="G91" s="11">
        <v>-31.999999999999261</v>
      </c>
      <c r="J91" s="11">
        <v>89</v>
      </c>
      <c r="K91" s="11">
        <f t="shared" si="12"/>
        <v>195.74999999999991</v>
      </c>
      <c r="L91" s="11">
        <f t="shared" si="13"/>
        <v>34.422164801209412</v>
      </c>
      <c r="M91" s="11">
        <f t="shared" si="14"/>
        <v>25.59218750000041</v>
      </c>
      <c r="N91" s="11">
        <f t="shared" si="15"/>
        <v>187.12500000000031</v>
      </c>
      <c r="O91" s="11">
        <f t="shared" si="16"/>
        <v>31.999999999999261</v>
      </c>
      <c r="P91" s="11">
        <f t="shared" si="17"/>
        <v>29.787500000000311</v>
      </c>
    </row>
    <row r="92" spans="1:16">
      <c r="A92" s="11">
        <v>90</v>
      </c>
      <c r="B92" s="11">
        <v>204.37500000000031</v>
      </c>
      <c r="C92" s="11">
        <v>29.787500000000311</v>
      </c>
      <c r="D92" s="11">
        <v>-32.000000000000931</v>
      </c>
      <c r="E92" s="11">
        <v>195.74999999999991</v>
      </c>
      <c r="F92" s="11">
        <v>25.59218750000041</v>
      </c>
      <c r="G92" s="11">
        <v>-34.422164801209412</v>
      </c>
      <c r="J92" s="11">
        <v>90</v>
      </c>
      <c r="K92" s="11">
        <f t="shared" si="12"/>
        <v>204.37500000000031</v>
      </c>
      <c r="L92" s="11">
        <f t="shared" si="13"/>
        <v>32.000000000000931</v>
      </c>
      <c r="M92" s="11">
        <f t="shared" si="14"/>
        <v>29.787500000000311</v>
      </c>
      <c r="N92" s="11">
        <f t="shared" si="15"/>
        <v>195.74999999999991</v>
      </c>
      <c r="O92" s="11">
        <f t="shared" si="16"/>
        <v>34.422164801209412</v>
      </c>
      <c r="P92" s="11">
        <f t="shared" si="17"/>
        <v>25.59218750000041</v>
      </c>
    </row>
    <row r="93" spans="1:16">
      <c r="A93" s="11">
        <v>91</v>
      </c>
      <c r="B93" s="11">
        <v>195.75000000000037</v>
      </c>
      <c r="C93" s="11">
        <v>25.592187500000335</v>
      </c>
      <c r="D93" s="11">
        <v>-34.422164801209284</v>
      </c>
      <c r="E93" s="11">
        <v>187.12500000000028</v>
      </c>
      <c r="F93" s="11">
        <v>24.193750000000161</v>
      </c>
      <c r="G93" s="11">
        <v>-31.999999999999389</v>
      </c>
      <c r="J93" s="11">
        <v>91</v>
      </c>
      <c r="K93" s="11">
        <f t="shared" si="12"/>
        <v>195.75000000000037</v>
      </c>
      <c r="L93" s="11">
        <f t="shared" si="13"/>
        <v>34.422164801209284</v>
      </c>
      <c r="M93" s="11">
        <f t="shared" si="14"/>
        <v>25.592187500000335</v>
      </c>
      <c r="N93" s="11">
        <f t="shared" si="15"/>
        <v>187.12500000000028</v>
      </c>
      <c r="O93" s="11">
        <f t="shared" si="16"/>
        <v>31.999999999999389</v>
      </c>
      <c r="P93" s="11">
        <f t="shared" si="17"/>
        <v>24.193750000000161</v>
      </c>
    </row>
    <row r="94" spans="1:16">
      <c r="A94" s="11">
        <v>92</v>
      </c>
      <c r="B94" s="11">
        <v>204.37500000000028</v>
      </c>
      <c r="C94" s="11">
        <v>24.193749999999188</v>
      </c>
      <c r="D94" s="11">
        <v>-31.999999999999375</v>
      </c>
      <c r="E94" s="11">
        <v>195.75000000000037</v>
      </c>
      <c r="F94" s="11">
        <v>25.592187500000335</v>
      </c>
      <c r="G94" s="11">
        <v>-34.422164801209284</v>
      </c>
      <c r="J94" s="11">
        <v>92</v>
      </c>
      <c r="K94" s="11">
        <f t="shared" si="12"/>
        <v>204.37500000000028</v>
      </c>
      <c r="L94" s="11">
        <f t="shared" si="13"/>
        <v>31.999999999999375</v>
      </c>
      <c r="M94" s="11">
        <f t="shared" si="14"/>
        <v>24.193749999999188</v>
      </c>
      <c r="N94" s="11">
        <f t="shared" si="15"/>
        <v>195.75000000000037</v>
      </c>
      <c r="O94" s="11">
        <f t="shared" si="16"/>
        <v>34.422164801209284</v>
      </c>
      <c r="P94" s="11">
        <f t="shared" si="17"/>
        <v>25.592187500000335</v>
      </c>
    </row>
    <row r="95" spans="1:16">
      <c r="A95" s="11">
        <v>93</v>
      </c>
      <c r="B95" s="11">
        <v>23.250000000000256</v>
      </c>
      <c r="C95" s="11">
        <v>29.78750000000019</v>
      </c>
      <c r="D95" s="11">
        <v>-31.999999999998252</v>
      </c>
      <c r="E95" s="11">
        <v>23.250000000000341</v>
      </c>
      <c r="F95" s="11">
        <v>25.592187500000364</v>
      </c>
      <c r="G95" s="11">
        <v>-34.422164801208147</v>
      </c>
      <c r="J95" s="11">
        <v>93</v>
      </c>
      <c r="K95" s="11">
        <f t="shared" si="12"/>
        <v>23.250000000000256</v>
      </c>
      <c r="L95" s="11">
        <f t="shared" si="13"/>
        <v>31.999999999998252</v>
      </c>
      <c r="M95" s="11">
        <f t="shared" si="14"/>
        <v>29.78750000000019</v>
      </c>
      <c r="N95" s="11">
        <f t="shared" si="15"/>
        <v>23.250000000000341</v>
      </c>
      <c r="O95" s="11">
        <f t="shared" si="16"/>
        <v>34.422164801208147</v>
      </c>
      <c r="P95" s="11">
        <f t="shared" si="17"/>
        <v>25.592187500000364</v>
      </c>
    </row>
    <row r="96" spans="1:16">
      <c r="A96" s="11">
        <v>94</v>
      </c>
      <c r="B96" s="11">
        <v>23.249999999999886</v>
      </c>
      <c r="C96" s="11">
        <v>25.592187500000438</v>
      </c>
      <c r="D96" s="11">
        <v>-34.422164801208275</v>
      </c>
      <c r="E96" s="11">
        <v>14.625000000000284</v>
      </c>
      <c r="F96" s="11">
        <v>29.787500000000339</v>
      </c>
      <c r="G96" s="11">
        <v>-31.999999999998124</v>
      </c>
      <c r="J96" s="11">
        <v>94</v>
      </c>
      <c r="K96" s="11">
        <f t="shared" si="12"/>
        <v>23.249999999999886</v>
      </c>
      <c r="L96" s="11">
        <f t="shared" si="13"/>
        <v>34.422164801208275</v>
      </c>
      <c r="M96" s="11">
        <f t="shared" si="14"/>
        <v>25.592187500000438</v>
      </c>
      <c r="N96" s="11">
        <f t="shared" si="15"/>
        <v>14.625000000000284</v>
      </c>
      <c r="O96" s="11">
        <f t="shared" si="16"/>
        <v>31.999999999998124</v>
      </c>
      <c r="P96" s="11">
        <f t="shared" si="17"/>
        <v>29.787500000000339</v>
      </c>
    </row>
    <row r="97" spans="1:16">
      <c r="A97" s="11">
        <v>95</v>
      </c>
      <c r="B97" s="11">
        <v>31.875000000000284</v>
      </c>
      <c r="C97" s="11">
        <v>29.787500000000339</v>
      </c>
      <c r="D97" s="11">
        <v>-31.999999999999794</v>
      </c>
      <c r="E97" s="11">
        <v>23.249999999999886</v>
      </c>
      <c r="F97" s="11">
        <v>25.592187500000438</v>
      </c>
      <c r="G97" s="11">
        <v>-34.422164801208275</v>
      </c>
      <c r="J97" s="11">
        <v>95</v>
      </c>
      <c r="K97" s="11">
        <f t="shared" si="12"/>
        <v>31.875000000000284</v>
      </c>
      <c r="L97" s="11">
        <f t="shared" si="13"/>
        <v>31.999999999999794</v>
      </c>
      <c r="M97" s="11">
        <f t="shared" si="14"/>
        <v>29.787500000000339</v>
      </c>
      <c r="N97" s="11">
        <f t="shared" si="15"/>
        <v>23.249999999999886</v>
      </c>
      <c r="O97" s="11">
        <f t="shared" si="16"/>
        <v>34.422164801208275</v>
      </c>
      <c r="P97" s="11">
        <f t="shared" si="17"/>
        <v>25.592187500000438</v>
      </c>
    </row>
    <row r="98" spans="1:16">
      <c r="A98" s="11">
        <v>96</v>
      </c>
      <c r="B98" s="11">
        <v>23.250000000000341</v>
      </c>
      <c r="C98" s="11">
        <v>25.592187500000364</v>
      </c>
      <c r="D98" s="11">
        <v>-34.422164801208147</v>
      </c>
      <c r="E98" s="11">
        <v>14.625000000000256</v>
      </c>
      <c r="F98" s="11">
        <v>24.19375000000019</v>
      </c>
      <c r="G98" s="11">
        <v>-31.999999999998252</v>
      </c>
      <c r="J98" s="11">
        <v>96</v>
      </c>
      <c r="K98" s="11">
        <f t="shared" si="12"/>
        <v>23.250000000000341</v>
      </c>
      <c r="L98" s="11">
        <f t="shared" si="13"/>
        <v>34.422164801208147</v>
      </c>
      <c r="M98" s="11">
        <f t="shared" si="14"/>
        <v>25.592187500000364</v>
      </c>
      <c r="N98" s="11">
        <f t="shared" si="15"/>
        <v>14.625000000000256</v>
      </c>
      <c r="O98" s="11">
        <f t="shared" si="16"/>
        <v>31.999999999998252</v>
      </c>
      <c r="P98" s="11">
        <f t="shared" si="17"/>
        <v>24.19375000000019</v>
      </c>
    </row>
    <row r="99" spans="1:16">
      <c r="A99" s="11">
        <v>97</v>
      </c>
      <c r="B99" s="11">
        <v>31.875000000000256</v>
      </c>
      <c r="C99" s="11">
        <v>24.193749999999216</v>
      </c>
      <c r="D99" s="11">
        <v>-31.999999999998238</v>
      </c>
      <c r="E99" s="11">
        <v>23.250000000000341</v>
      </c>
      <c r="F99" s="11">
        <v>25.592187500000364</v>
      </c>
      <c r="G99" s="11">
        <v>-34.422164801208147</v>
      </c>
      <c r="J99" s="11">
        <v>97</v>
      </c>
      <c r="K99" s="11">
        <f t="shared" si="12"/>
        <v>31.875000000000256</v>
      </c>
      <c r="L99" s="11">
        <f t="shared" si="13"/>
        <v>31.999999999998238</v>
      </c>
      <c r="M99" s="11">
        <f t="shared" si="14"/>
        <v>24.193749999999216</v>
      </c>
      <c r="N99" s="11">
        <f t="shared" si="15"/>
        <v>23.250000000000341</v>
      </c>
      <c r="O99" s="11">
        <f t="shared" si="16"/>
        <v>34.422164801208147</v>
      </c>
      <c r="P99" s="11">
        <f t="shared" si="17"/>
        <v>25.592187500000364</v>
      </c>
    </row>
    <row r="100" spans="1:16">
      <c r="A100" s="11">
        <v>98</v>
      </c>
      <c r="B100" s="11">
        <v>40.500000000000256</v>
      </c>
      <c r="C100" s="11">
        <v>29.78750000000214</v>
      </c>
      <c r="D100" s="11">
        <v>-31.999999999985388</v>
      </c>
      <c r="E100" s="11">
        <v>40.500000000000341</v>
      </c>
      <c r="F100" s="11">
        <v>25.592187500002314</v>
      </c>
      <c r="G100" s="11">
        <v>-34.422164801195279</v>
      </c>
      <c r="J100" s="11">
        <v>98</v>
      </c>
      <c r="K100" s="11">
        <f t="shared" si="12"/>
        <v>40.500000000000256</v>
      </c>
      <c r="L100" s="11">
        <f t="shared" si="13"/>
        <v>31.999999999985388</v>
      </c>
      <c r="M100" s="11">
        <f t="shared" si="14"/>
        <v>29.78750000000214</v>
      </c>
      <c r="N100" s="11">
        <f t="shared" si="15"/>
        <v>40.500000000000341</v>
      </c>
      <c r="O100" s="11">
        <f t="shared" si="16"/>
        <v>34.422164801195279</v>
      </c>
      <c r="P100" s="11">
        <f t="shared" si="17"/>
        <v>25.592187500002314</v>
      </c>
    </row>
    <row r="101" spans="1:16">
      <c r="A101" s="11">
        <v>99</v>
      </c>
      <c r="B101" s="11">
        <v>40.499999999999886</v>
      </c>
      <c r="C101" s="11">
        <v>25.592187500002389</v>
      </c>
      <c r="D101" s="11">
        <v>-34.422164801195407</v>
      </c>
      <c r="E101" s="11">
        <v>31.875000000000284</v>
      </c>
      <c r="F101" s="11">
        <v>29.787500000002289</v>
      </c>
      <c r="G101" s="11">
        <v>-31.99999999998526</v>
      </c>
      <c r="J101" s="11">
        <v>99</v>
      </c>
      <c r="K101" s="11">
        <f t="shared" si="12"/>
        <v>40.499999999999886</v>
      </c>
      <c r="L101" s="11">
        <f t="shared" si="13"/>
        <v>34.422164801195407</v>
      </c>
      <c r="M101" s="11">
        <f t="shared" si="14"/>
        <v>25.592187500002389</v>
      </c>
      <c r="N101" s="11">
        <f t="shared" si="15"/>
        <v>31.875000000000284</v>
      </c>
      <c r="O101" s="11">
        <f t="shared" si="16"/>
        <v>31.99999999998526</v>
      </c>
      <c r="P101" s="11">
        <f t="shared" si="17"/>
        <v>29.787500000002289</v>
      </c>
    </row>
    <row r="102" spans="1:16">
      <c r="A102" s="11">
        <v>100</v>
      </c>
      <c r="B102" s="11">
        <v>49.125000000000284</v>
      </c>
      <c r="C102" s="11">
        <v>29.787500000002289</v>
      </c>
      <c r="D102" s="11">
        <v>-31.99999999998693</v>
      </c>
      <c r="E102" s="11">
        <v>40.499999999999886</v>
      </c>
      <c r="F102" s="11">
        <v>25.592187500002389</v>
      </c>
      <c r="G102" s="11">
        <v>-34.422164801195407</v>
      </c>
      <c r="J102" s="11">
        <v>100</v>
      </c>
      <c r="K102" s="11">
        <f t="shared" si="12"/>
        <v>49.125000000000284</v>
      </c>
      <c r="L102" s="11">
        <f t="shared" si="13"/>
        <v>31.99999999998693</v>
      </c>
      <c r="M102" s="11">
        <f t="shared" si="14"/>
        <v>29.787500000002289</v>
      </c>
      <c r="N102" s="11">
        <f t="shared" si="15"/>
        <v>40.499999999999886</v>
      </c>
      <c r="O102" s="11">
        <f t="shared" si="16"/>
        <v>34.422164801195407</v>
      </c>
      <c r="P102" s="11">
        <f t="shared" si="17"/>
        <v>25.592187500002389</v>
      </c>
    </row>
    <row r="103" spans="1:16">
      <c r="A103" s="11">
        <v>101</v>
      </c>
      <c r="B103" s="11">
        <v>40.500000000000341</v>
      </c>
      <c r="C103" s="11">
        <v>25.592187500002314</v>
      </c>
      <c r="D103" s="11">
        <v>-34.422164801195279</v>
      </c>
      <c r="E103" s="11">
        <v>31.875000000000256</v>
      </c>
      <c r="F103" s="11">
        <v>24.19375000000214</v>
      </c>
      <c r="G103" s="11">
        <v>-31.999999999985388</v>
      </c>
      <c r="J103" s="11">
        <v>101</v>
      </c>
      <c r="K103" s="11">
        <f t="shared" si="12"/>
        <v>40.500000000000341</v>
      </c>
      <c r="L103" s="11">
        <f t="shared" si="13"/>
        <v>34.422164801195279</v>
      </c>
      <c r="M103" s="11">
        <f t="shared" si="14"/>
        <v>25.592187500002314</v>
      </c>
      <c r="N103" s="11">
        <f t="shared" si="15"/>
        <v>31.875000000000256</v>
      </c>
      <c r="O103" s="11">
        <f t="shared" si="16"/>
        <v>31.999999999985388</v>
      </c>
      <c r="P103" s="11">
        <f t="shared" si="17"/>
        <v>24.19375000000214</v>
      </c>
    </row>
    <row r="104" spans="1:16">
      <c r="A104" s="11">
        <v>102</v>
      </c>
      <c r="B104" s="11">
        <v>49.125000000000256</v>
      </c>
      <c r="C104" s="11">
        <v>24.193750000001167</v>
      </c>
      <c r="D104" s="11">
        <v>-31.999999999985373</v>
      </c>
      <c r="E104" s="11">
        <v>40.500000000000341</v>
      </c>
      <c r="F104" s="11">
        <v>25.592187500002314</v>
      </c>
      <c r="G104" s="11">
        <v>-34.422164801195279</v>
      </c>
      <c r="J104" s="11">
        <v>102</v>
      </c>
      <c r="K104" s="11">
        <f t="shared" si="12"/>
        <v>49.125000000000256</v>
      </c>
      <c r="L104" s="11">
        <f t="shared" si="13"/>
        <v>31.999999999985373</v>
      </c>
      <c r="M104" s="11">
        <f t="shared" si="14"/>
        <v>24.193750000001167</v>
      </c>
      <c r="N104" s="11">
        <f t="shared" si="15"/>
        <v>40.500000000000341</v>
      </c>
      <c r="O104" s="11">
        <f t="shared" si="16"/>
        <v>34.422164801195279</v>
      </c>
      <c r="P104" s="11">
        <f t="shared" si="17"/>
        <v>25.592187500002314</v>
      </c>
    </row>
    <row r="105" spans="1:16">
      <c r="A105" s="11">
        <v>103</v>
      </c>
      <c r="B105" s="11">
        <v>57.750000000000597</v>
      </c>
      <c r="C105" s="11">
        <v>29.787500000001675</v>
      </c>
      <c r="D105" s="11">
        <v>-31.999999999987327</v>
      </c>
      <c r="E105" s="11">
        <v>57.750000000000682</v>
      </c>
      <c r="F105" s="11">
        <v>25.592187500001849</v>
      </c>
      <c r="G105" s="11">
        <v>-34.422164801197226</v>
      </c>
      <c r="J105" s="11">
        <v>103</v>
      </c>
      <c r="K105" s="11">
        <f t="shared" si="12"/>
        <v>57.750000000000597</v>
      </c>
      <c r="L105" s="11">
        <f t="shared" si="13"/>
        <v>31.999999999987327</v>
      </c>
      <c r="M105" s="11">
        <f t="shared" si="14"/>
        <v>29.787500000001675</v>
      </c>
      <c r="N105" s="11">
        <f t="shared" si="15"/>
        <v>57.750000000000682</v>
      </c>
      <c r="O105" s="11">
        <f t="shared" si="16"/>
        <v>34.422164801197226</v>
      </c>
      <c r="P105" s="11">
        <f t="shared" si="17"/>
        <v>25.592187500001849</v>
      </c>
    </row>
    <row r="106" spans="1:16">
      <c r="A106" s="11">
        <v>104</v>
      </c>
      <c r="B106" s="11">
        <v>57.750000000000227</v>
      </c>
      <c r="C106" s="11">
        <v>25.592187500001923</v>
      </c>
      <c r="D106" s="11">
        <v>-34.422164801197354</v>
      </c>
      <c r="E106" s="11">
        <v>49.125000000000625</v>
      </c>
      <c r="F106" s="11">
        <v>29.787500000001824</v>
      </c>
      <c r="G106" s="11">
        <v>-31.9999999999872</v>
      </c>
      <c r="J106" s="11">
        <v>104</v>
      </c>
      <c r="K106" s="11">
        <f t="shared" si="12"/>
        <v>57.750000000000227</v>
      </c>
      <c r="L106" s="11">
        <f t="shared" si="13"/>
        <v>34.422164801197354</v>
      </c>
      <c r="M106" s="11">
        <f t="shared" si="14"/>
        <v>25.592187500001923</v>
      </c>
      <c r="N106" s="11">
        <f t="shared" si="15"/>
        <v>49.125000000000625</v>
      </c>
      <c r="O106" s="11">
        <f t="shared" si="16"/>
        <v>31.9999999999872</v>
      </c>
      <c r="P106" s="11">
        <f t="shared" si="17"/>
        <v>29.787500000001824</v>
      </c>
    </row>
    <row r="107" spans="1:16">
      <c r="A107" s="11">
        <v>105</v>
      </c>
      <c r="B107" s="11">
        <v>66.375000000000625</v>
      </c>
      <c r="C107" s="11">
        <v>29.787500000001824</v>
      </c>
      <c r="D107" s="11">
        <v>-31.999999999988869</v>
      </c>
      <c r="E107" s="11">
        <v>57.750000000000227</v>
      </c>
      <c r="F107" s="11">
        <v>25.592187500001923</v>
      </c>
      <c r="G107" s="11">
        <v>-34.422164801197354</v>
      </c>
      <c r="J107" s="11">
        <v>105</v>
      </c>
      <c r="K107" s="11">
        <f t="shared" si="12"/>
        <v>66.375000000000625</v>
      </c>
      <c r="L107" s="11">
        <f t="shared" si="13"/>
        <v>31.999999999988869</v>
      </c>
      <c r="M107" s="11">
        <f t="shared" si="14"/>
        <v>29.787500000001824</v>
      </c>
      <c r="N107" s="11">
        <f t="shared" si="15"/>
        <v>57.750000000000227</v>
      </c>
      <c r="O107" s="11">
        <f t="shared" si="16"/>
        <v>34.422164801197354</v>
      </c>
      <c r="P107" s="11">
        <f t="shared" si="17"/>
        <v>25.592187500001923</v>
      </c>
    </row>
    <row r="108" spans="1:16">
      <c r="A108" s="11">
        <v>106</v>
      </c>
      <c r="B108" s="11">
        <v>57.750000000000682</v>
      </c>
      <c r="C108" s="11">
        <v>25.592187500001849</v>
      </c>
      <c r="D108" s="11">
        <v>-34.422164801197226</v>
      </c>
      <c r="E108" s="11">
        <v>49.125000000000597</v>
      </c>
      <c r="F108" s="11">
        <v>24.193750000001675</v>
      </c>
      <c r="G108" s="11">
        <v>-31.999999999987327</v>
      </c>
      <c r="J108" s="11">
        <v>106</v>
      </c>
      <c r="K108" s="11">
        <f t="shared" si="12"/>
        <v>57.750000000000682</v>
      </c>
      <c r="L108" s="11">
        <f t="shared" si="13"/>
        <v>34.422164801197226</v>
      </c>
      <c r="M108" s="11">
        <f t="shared" si="14"/>
        <v>25.592187500001849</v>
      </c>
      <c r="N108" s="11">
        <f t="shared" si="15"/>
        <v>49.125000000000597</v>
      </c>
      <c r="O108" s="11">
        <f t="shared" si="16"/>
        <v>31.999999999987327</v>
      </c>
      <c r="P108" s="11">
        <f t="shared" si="17"/>
        <v>24.193750000001675</v>
      </c>
    </row>
    <row r="109" spans="1:16">
      <c r="A109" s="11">
        <v>107</v>
      </c>
      <c r="B109" s="11">
        <v>66.375000000000597</v>
      </c>
      <c r="C109" s="11">
        <v>24.193750000000701</v>
      </c>
      <c r="D109" s="11">
        <v>-31.999999999987313</v>
      </c>
      <c r="E109" s="11">
        <v>57.750000000000682</v>
      </c>
      <c r="F109" s="11">
        <v>25.592187500001849</v>
      </c>
      <c r="G109" s="11">
        <v>-34.422164801197226</v>
      </c>
      <c r="J109" s="11">
        <v>107</v>
      </c>
      <c r="K109" s="11">
        <f t="shared" si="12"/>
        <v>66.375000000000597</v>
      </c>
      <c r="L109" s="11">
        <f t="shared" si="13"/>
        <v>31.999999999987313</v>
      </c>
      <c r="M109" s="11">
        <f t="shared" si="14"/>
        <v>24.193750000000701</v>
      </c>
      <c r="N109" s="11">
        <f t="shared" si="15"/>
        <v>57.750000000000682</v>
      </c>
      <c r="O109" s="11">
        <f t="shared" si="16"/>
        <v>34.422164801197226</v>
      </c>
      <c r="P109" s="11">
        <f t="shared" si="17"/>
        <v>25.592187500001849</v>
      </c>
    </row>
    <row r="110" spans="1:16">
      <c r="A110" s="11">
        <v>108</v>
      </c>
      <c r="B110" s="11">
        <v>75.000000000000284</v>
      </c>
      <c r="C110" s="11">
        <v>29.787500000001526</v>
      </c>
      <c r="D110" s="11">
        <v>-31.999999999989083</v>
      </c>
      <c r="E110" s="11">
        <v>75.000000000000369</v>
      </c>
      <c r="F110" s="11">
        <v>25.5921875000017</v>
      </c>
      <c r="G110" s="11">
        <v>-34.422164801198974</v>
      </c>
      <c r="J110" s="11">
        <v>108</v>
      </c>
      <c r="K110" s="11">
        <f t="shared" si="12"/>
        <v>75.000000000000284</v>
      </c>
      <c r="L110" s="11">
        <f t="shared" si="13"/>
        <v>31.999999999989083</v>
      </c>
      <c r="M110" s="11">
        <f t="shared" si="14"/>
        <v>29.787500000001526</v>
      </c>
      <c r="N110" s="11">
        <f t="shared" si="15"/>
        <v>75.000000000000369</v>
      </c>
      <c r="O110" s="11">
        <f t="shared" si="16"/>
        <v>34.422164801198974</v>
      </c>
      <c r="P110" s="11">
        <f t="shared" si="17"/>
        <v>25.5921875000017</v>
      </c>
    </row>
    <row r="111" spans="1:16">
      <c r="A111" s="11">
        <v>109</v>
      </c>
      <c r="B111" s="11">
        <v>74.999999999999915</v>
      </c>
      <c r="C111" s="11">
        <v>25.592187500001774</v>
      </c>
      <c r="D111" s="11">
        <v>-34.422164801199102</v>
      </c>
      <c r="E111" s="11">
        <v>66.375000000000313</v>
      </c>
      <c r="F111" s="11">
        <v>29.787500000001675</v>
      </c>
      <c r="G111" s="11">
        <v>-31.999999999988955</v>
      </c>
      <c r="J111" s="11">
        <v>109</v>
      </c>
      <c r="K111" s="11">
        <f t="shared" si="12"/>
        <v>74.999999999999915</v>
      </c>
      <c r="L111" s="11">
        <f t="shared" si="13"/>
        <v>34.422164801199102</v>
      </c>
      <c r="M111" s="11">
        <f t="shared" si="14"/>
        <v>25.592187500001774</v>
      </c>
      <c r="N111" s="11">
        <f t="shared" si="15"/>
        <v>66.375000000000313</v>
      </c>
      <c r="O111" s="11">
        <f t="shared" si="16"/>
        <v>31.999999999988955</v>
      </c>
      <c r="P111" s="11">
        <f t="shared" si="17"/>
        <v>29.787500000001675</v>
      </c>
    </row>
    <row r="112" spans="1:16">
      <c r="A112" s="11">
        <v>110</v>
      </c>
      <c r="B112" s="11">
        <v>83.625000000000313</v>
      </c>
      <c r="C112" s="11">
        <v>29.787500000001675</v>
      </c>
      <c r="D112" s="11">
        <v>-31.999999999990624</v>
      </c>
      <c r="E112" s="11">
        <v>74.999999999999915</v>
      </c>
      <c r="F112" s="11">
        <v>25.592187500001774</v>
      </c>
      <c r="G112" s="11">
        <v>-34.422164801199102</v>
      </c>
      <c r="J112" s="11">
        <v>110</v>
      </c>
      <c r="K112" s="11">
        <f t="shared" si="12"/>
        <v>83.625000000000313</v>
      </c>
      <c r="L112" s="11">
        <f t="shared" si="13"/>
        <v>31.999999999990624</v>
      </c>
      <c r="M112" s="11">
        <f t="shared" si="14"/>
        <v>29.787500000001675</v>
      </c>
      <c r="N112" s="11">
        <f t="shared" si="15"/>
        <v>74.999999999999915</v>
      </c>
      <c r="O112" s="11">
        <f t="shared" si="16"/>
        <v>34.422164801199102</v>
      </c>
      <c r="P112" s="11">
        <f t="shared" si="17"/>
        <v>25.592187500001774</v>
      </c>
    </row>
    <row r="113" spans="1:16">
      <c r="A113" s="11">
        <v>111</v>
      </c>
      <c r="B113" s="11">
        <v>75.000000000000369</v>
      </c>
      <c r="C113" s="11">
        <v>25.5921875000017</v>
      </c>
      <c r="D113" s="11">
        <v>-34.422164801198974</v>
      </c>
      <c r="E113" s="11">
        <v>66.375000000000284</v>
      </c>
      <c r="F113" s="11">
        <v>24.193750000001526</v>
      </c>
      <c r="G113" s="11">
        <v>-31.999999999989083</v>
      </c>
      <c r="J113" s="11">
        <v>111</v>
      </c>
      <c r="K113" s="11">
        <f t="shared" si="12"/>
        <v>75.000000000000369</v>
      </c>
      <c r="L113" s="11">
        <f t="shared" si="13"/>
        <v>34.422164801198974</v>
      </c>
      <c r="M113" s="11">
        <f t="shared" si="14"/>
        <v>25.5921875000017</v>
      </c>
      <c r="N113" s="11">
        <f t="shared" si="15"/>
        <v>66.375000000000284</v>
      </c>
      <c r="O113" s="11">
        <f t="shared" si="16"/>
        <v>31.999999999989083</v>
      </c>
      <c r="P113" s="11">
        <f t="shared" si="17"/>
        <v>24.193750000001526</v>
      </c>
    </row>
    <row r="114" spans="1:16">
      <c r="A114" s="11">
        <v>112</v>
      </c>
      <c r="B114" s="11">
        <v>83.625000000000284</v>
      </c>
      <c r="C114" s="11">
        <v>24.193750000000552</v>
      </c>
      <c r="D114" s="11">
        <v>-31.999999999989068</v>
      </c>
      <c r="E114" s="11">
        <v>75.000000000000369</v>
      </c>
      <c r="F114" s="11">
        <v>25.5921875000017</v>
      </c>
      <c r="G114" s="11">
        <v>-34.422164801198974</v>
      </c>
      <c r="J114" s="11">
        <v>112</v>
      </c>
      <c r="K114" s="11">
        <f t="shared" si="12"/>
        <v>83.625000000000284</v>
      </c>
      <c r="L114" s="11">
        <f t="shared" si="13"/>
        <v>31.999999999989068</v>
      </c>
      <c r="M114" s="11">
        <f t="shared" si="14"/>
        <v>24.193750000000552</v>
      </c>
      <c r="N114" s="11">
        <f t="shared" si="15"/>
        <v>75.000000000000369</v>
      </c>
      <c r="O114" s="11">
        <f t="shared" si="16"/>
        <v>34.422164801198974</v>
      </c>
      <c r="P114" s="11">
        <f t="shared" si="17"/>
        <v>25.5921875000017</v>
      </c>
    </row>
    <row r="115" spans="1:16">
      <c r="A115" s="11">
        <v>113</v>
      </c>
      <c r="B115" s="11">
        <v>92.250000000000256</v>
      </c>
      <c r="C115" s="11">
        <v>29.787500000001238</v>
      </c>
      <c r="D115" s="11">
        <v>-31.999999999990916</v>
      </c>
      <c r="E115" s="11">
        <v>92.250000000000341</v>
      </c>
      <c r="F115" s="11">
        <v>25.592187500001412</v>
      </c>
      <c r="G115" s="11">
        <v>-34.422164801200807</v>
      </c>
      <c r="J115" s="11">
        <v>113</v>
      </c>
      <c r="K115" s="11">
        <f t="shared" si="12"/>
        <v>92.250000000000256</v>
      </c>
      <c r="L115" s="11">
        <f t="shared" si="13"/>
        <v>31.999999999990916</v>
      </c>
      <c r="M115" s="11">
        <f t="shared" si="14"/>
        <v>29.787500000001238</v>
      </c>
      <c r="N115" s="11">
        <f t="shared" si="15"/>
        <v>92.250000000000341</v>
      </c>
      <c r="O115" s="11">
        <f t="shared" si="16"/>
        <v>34.422164801200807</v>
      </c>
      <c r="P115" s="11">
        <f t="shared" si="17"/>
        <v>25.592187500001412</v>
      </c>
    </row>
    <row r="116" spans="1:16">
      <c r="A116" s="11">
        <v>114</v>
      </c>
      <c r="B116" s="11">
        <v>92.249999999999886</v>
      </c>
      <c r="C116" s="11">
        <v>25.592187500001486</v>
      </c>
      <c r="D116" s="11">
        <v>-34.422164801200935</v>
      </c>
      <c r="E116" s="11">
        <v>83.625000000000284</v>
      </c>
      <c r="F116" s="11">
        <v>29.787500000001387</v>
      </c>
      <c r="G116" s="11">
        <v>-31.999999999990788</v>
      </c>
      <c r="J116" s="11">
        <v>114</v>
      </c>
      <c r="K116" s="11">
        <f t="shared" si="12"/>
        <v>92.249999999999886</v>
      </c>
      <c r="L116" s="11">
        <f t="shared" si="13"/>
        <v>34.422164801200935</v>
      </c>
      <c r="M116" s="11">
        <f t="shared" si="14"/>
        <v>25.592187500001486</v>
      </c>
      <c r="N116" s="11">
        <f t="shared" si="15"/>
        <v>83.625000000000284</v>
      </c>
      <c r="O116" s="11">
        <f t="shared" si="16"/>
        <v>31.999999999990788</v>
      </c>
      <c r="P116" s="11">
        <f t="shared" si="17"/>
        <v>29.787500000001387</v>
      </c>
    </row>
    <row r="117" spans="1:16">
      <c r="A117" s="11">
        <v>115</v>
      </c>
      <c r="B117" s="11">
        <v>100.87500000000028</v>
      </c>
      <c r="C117" s="11">
        <v>29.787500000001387</v>
      </c>
      <c r="D117" s="11">
        <v>-31.999999999992458</v>
      </c>
      <c r="E117" s="11">
        <v>92.249999999999886</v>
      </c>
      <c r="F117" s="11">
        <v>25.592187500001486</v>
      </c>
      <c r="G117" s="11">
        <v>-34.422164801200935</v>
      </c>
      <c r="J117" s="11">
        <v>115</v>
      </c>
      <c r="K117" s="11">
        <f t="shared" si="12"/>
        <v>100.87500000000028</v>
      </c>
      <c r="L117" s="11">
        <f t="shared" si="13"/>
        <v>31.999999999992458</v>
      </c>
      <c r="M117" s="11">
        <f t="shared" si="14"/>
        <v>29.787500000001387</v>
      </c>
      <c r="N117" s="11">
        <f t="shared" si="15"/>
        <v>92.249999999999886</v>
      </c>
      <c r="O117" s="11">
        <f t="shared" si="16"/>
        <v>34.422164801200935</v>
      </c>
      <c r="P117" s="11">
        <f t="shared" si="17"/>
        <v>25.592187500001486</v>
      </c>
    </row>
    <row r="118" spans="1:16">
      <c r="A118" s="11">
        <v>116</v>
      </c>
      <c r="B118" s="11">
        <v>92.250000000000341</v>
      </c>
      <c r="C118" s="11">
        <v>25.592187500001412</v>
      </c>
      <c r="D118" s="11">
        <v>-34.422164801200807</v>
      </c>
      <c r="E118" s="11">
        <v>83.625000000000256</v>
      </c>
      <c r="F118" s="11">
        <v>24.193750000001238</v>
      </c>
      <c r="G118" s="11">
        <v>-31.999999999990916</v>
      </c>
      <c r="J118" s="11">
        <v>116</v>
      </c>
      <c r="K118" s="11">
        <f t="shared" si="12"/>
        <v>92.250000000000341</v>
      </c>
      <c r="L118" s="11">
        <f t="shared" si="13"/>
        <v>34.422164801200807</v>
      </c>
      <c r="M118" s="11">
        <f t="shared" si="14"/>
        <v>25.592187500001412</v>
      </c>
      <c r="N118" s="11">
        <f t="shared" si="15"/>
        <v>83.625000000000256</v>
      </c>
      <c r="O118" s="11">
        <f t="shared" si="16"/>
        <v>31.999999999990916</v>
      </c>
      <c r="P118" s="11">
        <f t="shared" si="17"/>
        <v>24.193750000001238</v>
      </c>
    </row>
    <row r="119" spans="1:16">
      <c r="A119" s="11">
        <v>117</v>
      </c>
      <c r="B119" s="11">
        <v>100.87500000000026</v>
      </c>
      <c r="C119" s="11">
        <v>24.193750000000264</v>
      </c>
      <c r="D119" s="11">
        <v>-31.999999999990902</v>
      </c>
      <c r="E119" s="11">
        <v>92.250000000000341</v>
      </c>
      <c r="F119" s="11">
        <v>25.592187500001412</v>
      </c>
      <c r="G119" s="11">
        <v>-34.422164801200807</v>
      </c>
      <c r="J119" s="11">
        <v>117</v>
      </c>
      <c r="K119" s="11">
        <f t="shared" si="12"/>
        <v>100.87500000000026</v>
      </c>
      <c r="L119" s="11">
        <f t="shared" si="13"/>
        <v>31.999999999990902</v>
      </c>
      <c r="M119" s="11">
        <f t="shared" si="14"/>
        <v>24.193750000000264</v>
      </c>
      <c r="N119" s="11">
        <f t="shared" si="15"/>
        <v>92.250000000000341</v>
      </c>
      <c r="O119" s="11">
        <f t="shared" si="16"/>
        <v>34.422164801200807</v>
      </c>
      <c r="P119" s="11">
        <f t="shared" si="17"/>
        <v>25.592187500001412</v>
      </c>
    </row>
    <row r="120" spans="1:16">
      <c r="A120" s="11">
        <v>118</v>
      </c>
      <c r="B120" s="11">
        <v>109.5000000000006</v>
      </c>
      <c r="C120" s="11">
        <v>29.787500000000769</v>
      </c>
      <c r="D120" s="11">
        <v>-31.999999999992855</v>
      </c>
      <c r="E120" s="11">
        <v>109.50000000000068</v>
      </c>
      <c r="F120" s="11">
        <v>25.592187500000943</v>
      </c>
      <c r="G120" s="11">
        <v>-34.422164801202754</v>
      </c>
      <c r="J120" s="11">
        <v>118</v>
      </c>
      <c r="K120" s="11">
        <f t="shared" si="12"/>
        <v>109.5000000000006</v>
      </c>
      <c r="L120" s="11">
        <f t="shared" si="13"/>
        <v>31.999999999992855</v>
      </c>
      <c r="M120" s="11">
        <f t="shared" si="14"/>
        <v>29.787500000000769</v>
      </c>
      <c r="N120" s="11">
        <f t="shared" si="15"/>
        <v>109.50000000000068</v>
      </c>
      <c r="O120" s="11">
        <f t="shared" si="16"/>
        <v>34.422164801202754</v>
      </c>
      <c r="P120" s="11">
        <f t="shared" si="17"/>
        <v>25.592187500000943</v>
      </c>
    </row>
    <row r="121" spans="1:16">
      <c r="A121" s="11">
        <v>119</v>
      </c>
      <c r="B121" s="11">
        <v>109.50000000000023</v>
      </c>
      <c r="C121" s="11">
        <v>25.592187500001017</v>
      </c>
      <c r="D121" s="11">
        <v>-34.422164801202882</v>
      </c>
      <c r="E121" s="11">
        <v>100.87500000000063</v>
      </c>
      <c r="F121" s="11">
        <v>29.787500000000918</v>
      </c>
      <c r="G121" s="11">
        <v>-31.999999999992728</v>
      </c>
      <c r="J121" s="11">
        <v>119</v>
      </c>
      <c r="K121" s="11">
        <f t="shared" si="12"/>
        <v>109.50000000000023</v>
      </c>
      <c r="L121" s="11">
        <f t="shared" si="13"/>
        <v>34.422164801202882</v>
      </c>
      <c r="M121" s="11">
        <f t="shared" si="14"/>
        <v>25.592187500001017</v>
      </c>
      <c r="N121" s="11">
        <f t="shared" si="15"/>
        <v>100.87500000000063</v>
      </c>
      <c r="O121" s="11">
        <f t="shared" si="16"/>
        <v>31.999999999992728</v>
      </c>
      <c r="P121" s="11">
        <f t="shared" si="17"/>
        <v>29.787500000000918</v>
      </c>
    </row>
    <row r="122" spans="1:16">
      <c r="A122" s="11">
        <v>120</v>
      </c>
      <c r="B122" s="11">
        <v>118.12500000000063</v>
      </c>
      <c r="C122" s="11">
        <v>29.787500000000918</v>
      </c>
      <c r="D122" s="11">
        <v>-31.999999999994397</v>
      </c>
      <c r="E122" s="11">
        <v>109.50000000000023</v>
      </c>
      <c r="F122" s="11">
        <v>25.592187500001017</v>
      </c>
      <c r="G122" s="11">
        <v>-34.422164801202882</v>
      </c>
      <c r="J122" s="11">
        <v>120</v>
      </c>
      <c r="K122" s="11">
        <f t="shared" si="12"/>
        <v>118.12500000000063</v>
      </c>
      <c r="L122" s="11">
        <f t="shared" si="13"/>
        <v>31.999999999994397</v>
      </c>
      <c r="M122" s="11">
        <f t="shared" si="14"/>
        <v>29.787500000000918</v>
      </c>
      <c r="N122" s="11">
        <f t="shared" si="15"/>
        <v>109.50000000000023</v>
      </c>
      <c r="O122" s="11">
        <f t="shared" si="16"/>
        <v>34.422164801202882</v>
      </c>
      <c r="P122" s="11">
        <f t="shared" si="17"/>
        <v>25.592187500001017</v>
      </c>
    </row>
    <row r="123" spans="1:16">
      <c r="A123" s="11">
        <v>121</v>
      </c>
      <c r="B123" s="11">
        <v>109.50000000000068</v>
      </c>
      <c r="C123" s="11">
        <v>25.592187500000943</v>
      </c>
      <c r="D123" s="11">
        <v>-34.422164801202754</v>
      </c>
      <c r="E123" s="11">
        <v>100.8750000000006</v>
      </c>
      <c r="F123" s="11">
        <v>24.193750000000769</v>
      </c>
      <c r="G123" s="11">
        <v>-31.999999999992855</v>
      </c>
      <c r="J123" s="11">
        <v>121</v>
      </c>
      <c r="K123" s="11">
        <f t="shared" si="12"/>
        <v>109.50000000000068</v>
      </c>
      <c r="L123" s="11">
        <f t="shared" si="13"/>
        <v>34.422164801202754</v>
      </c>
      <c r="M123" s="11">
        <f t="shared" si="14"/>
        <v>25.592187500000943</v>
      </c>
      <c r="N123" s="11">
        <f t="shared" si="15"/>
        <v>100.8750000000006</v>
      </c>
      <c r="O123" s="11">
        <f t="shared" si="16"/>
        <v>31.999999999992855</v>
      </c>
      <c r="P123" s="11">
        <f t="shared" si="17"/>
        <v>24.193750000000769</v>
      </c>
    </row>
    <row r="124" spans="1:16">
      <c r="A124" s="11">
        <v>122</v>
      </c>
      <c r="B124" s="11">
        <v>118.1250000000006</v>
      </c>
      <c r="C124" s="11">
        <v>24.193749999999795</v>
      </c>
      <c r="D124" s="11">
        <v>-31.999999999992841</v>
      </c>
      <c r="E124" s="11">
        <v>109.50000000000068</v>
      </c>
      <c r="F124" s="11">
        <v>25.592187500000943</v>
      </c>
      <c r="G124" s="11">
        <v>-34.422164801202754</v>
      </c>
      <c r="J124" s="11">
        <v>122</v>
      </c>
      <c r="K124" s="11">
        <f t="shared" si="12"/>
        <v>118.1250000000006</v>
      </c>
      <c r="L124" s="11">
        <f t="shared" si="13"/>
        <v>31.999999999992841</v>
      </c>
      <c r="M124" s="11">
        <f t="shared" si="14"/>
        <v>24.193749999999795</v>
      </c>
      <c r="N124" s="11">
        <f t="shared" si="15"/>
        <v>109.50000000000068</v>
      </c>
      <c r="O124" s="11">
        <f t="shared" si="16"/>
        <v>34.422164801202754</v>
      </c>
      <c r="P124" s="11">
        <f t="shared" si="17"/>
        <v>25.592187500000943</v>
      </c>
    </row>
    <row r="125" spans="1:16">
      <c r="A125" s="11">
        <v>123</v>
      </c>
      <c r="B125" s="11">
        <v>126.75000000000028</v>
      </c>
      <c r="C125" s="11">
        <v>29.78750000000062</v>
      </c>
      <c r="D125" s="11">
        <v>-31.999999999994611</v>
      </c>
      <c r="E125" s="11">
        <v>126.75000000000037</v>
      </c>
      <c r="F125" s="11">
        <v>25.592187500000794</v>
      </c>
      <c r="G125" s="11">
        <v>-34.422164801204502</v>
      </c>
      <c r="J125" s="11">
        <v>123</v>
      </c>
      <c r="K125" s="11">
        <f t="shared" si="12"/>
        <v>126.75000000000028</v>
      </c>
      <c r="L125" s="11">
        <f t="shared" si="13"/>
        <v>31.999999999994611</v>
      </c>
      <c r="M125" s="11">
        <f t="shared" si="14"/>
        <v>29.78750000000062</v>
      </c>
      <c r="N125" s="11">
        <f t="shared" si="15"/>
        <v>126.75000000000037</v>
      </c>
      <c r="O125" s="11">
        <f t="shared" si="16"/>
        <v>34.422164801204502</v>
      </c>
      <c r="P125" s="11">
        <f t="shared" si="17"/>
        <v>25.592187500000794</v>
      </c>
    </row>
    <row r="126" spans="1:16">
      <c r="A126" s="11">
        <v>124</v>
      </c>
      <c r="B126" s="11">
        <v>126.74999999999991</v>
      </c>
      <c r="C126" s="11">
        <v>25.592187500000868</v>
      </c>
      <c r="D126" s="11">
        <v>-34.42216480120463</v>
      </c>
      <c r="E126" s="11">
        <v>118.12500000000031</v>
      </c>
      <c r="F126" s="11">
        <v>29.787500000000769</v>
      </c>
      <c r="G126" s="11">
        <v>-31.999999999994483</v>
      </c>
      <c r="J126" s="11">
        <v>124</v>
      </c>
      <c r="K126" s="11">
        <f t="shared" si="12"/>
        <v>126.74999999999991</v>
      </c>
      <c r="L126" s="11">
        <f t="shared" si="13"/>
        <v>34.42216480120463</v>
      </c>
      <c r="M126" s="11">
        <f t="shared" si="14"/>
        <v>25.592187500000868</v>
      </c>
      <c r="N126" s="11">
        <f t="shared" si="15"/>
        <v>118.12500000000031</v>
      </c>
      <c r="O126" s="11">
        <f t="shared" si="16"/>
        <v>31.999999999994483</v>
      </c>
      <c r="P126" s="11">
        <f t="shared" si="17"/>
        <v>29.787500000000769</v>
      </c>
    </row>
    <row r="127" spans="1:16">
      <c r="A127" s="11">
        <v>125</v>
      </c>
      <c r="B127" s="11">
        <v>135.37500000000031</v>
      </c>
      <c r="C127" s="11">
        <v>29.787500000000769</v>
      </c>
      <c r="D127" s="11">
        <v>-31.999999999996152</v>
      </c>
      <c r="E127" s="11">
        <v>126.74999999999991</v>
      </c>
      <c r="F127" s="11">
        <v>25.592187500000868</v>
      </c>
      <c r="G127" s="11">
        <v>-34.42216480120463</v>
      </c>
      <c r="J127" s="11">
        <v>125</v>
      </c>
      <c r="K127" s="11">
        <f t="shared" si="12"/>
        <v>135.37500000000031</v>
      </c>
      <c r="L127" s="11">
        <f t="shared" si="13"/>
        <v>31.999999999996152</v>
      </c>
      <c r="M127" s="11">
        <f t="shared" si="14"/>
        <v>29.787500000000769</v>
      </c>
      <c r="N127" s="11">
        <f t="shared" si="15"/>
        <v>126.74999999999991</v>
      </c>
      <c r="O127" s="11">
        <f t="shared" si="16"/>
        <v>34.42216480120463</v>
      </c>
      <c r="P127" s="11">
        <f t="shared" si="17"/>
        <v>25.592187500000868</v>
      </c>
    </row>
    <row r="128" spans="1:16">
      <c r="A128" s="11">
        <v>126</v>
      </c>
      <c r="B128" s="11">
        <v>126.75000000000037</v>
      </c>
      <c r="C128" s="11">
        <v>25.592187500000794</v>
      </c>
      <c r="D128" s="11">
        <v>-34.422164801204502</v>
      </c>
      <c r="E128" s="11">
        <v>118.12500000000028</v>
      </c>
      <c r="F128" s="11">
        <v>24.19375000000062</v>
      </c>
      <c r="G128" s="11">
        <v>-31.999999999994611</v>
      </c>
      <c r="J128" s="11">
        <v>126</v>
      </c>
      <c r="K128" s="11">
        <f t="shared" si="12"/>
        <v>126.75000000000037</v>
      </c>
      <c r="L128" s="11">
        <f t="shared" si="13"/>
        <v>34.422164801204502</v>
      </c>
      <c r="M128" s="11">
        <f t="shared" si="14"/>
        <v>25.592187500000794</v>
      </c>
      <c r="N128" s="11">
        <f t="shared" si="15"/>
        <v>118.12500000000028</v>
      </c>
      <c r="O128" s="11">
        <f t="shared" si="16"/>
        <v>31.999999999994611</v>
      </c>
      <c r="P128" s="11">
        <f t="shared" si="17"/>
        <v>24.19375000000062</v>
      </c>
    </row>
    <row r="129" spans="1:16">
      <c r="A129" s="11">
        <v>127</v>
      </c>
      <c r="B129" s="11">
        <v>135.37500000000028</v>
      </c>
      <c r="C129" s="11">
        <v>24.193749999999646</v>
      </c>
      <c r="D129" s="11">
        <v>-31.999999999994596</v>
      </c>
      <c r="E129" s="11">
        <v>126.75000000000037</v>
      </c>
      <c r="F129" s="11">
        <v>25.592187500000794</v>
      </c>
      <c r="G129" s="11">
        <v>-34.422164801204502</v>
      </c>
      <c r="J129" s="11">
        <v>127</v>
      </c>
      <c r="K129" s="11">
        <f t="shared" si="12"/>
        <v>135.37500000000028</v>
      </c>
      <c r="L129" s="11">
        <f t="shared" si="13"/>
        <v>31.999999999994596</v>
      </c>
      <c r="M129" s="11">
        <f t="shared" si="14"/>
        <v>24.193749999999646</v>
      </c>
      <c r="N129" s="11">
        <f t="shared" si="15"/>
        <v>126.75000000000037</v>
      </c>
      <c r="O129" s="11">
        <f t="shared" si="16"/>
        <v>34.422164801204502</v>
      </c>
      <c r="P129" s="11">
        <f t="shared" si="17"/>
        <v>25.592187500000794</v>
      </c>
    </row>
    <row r="130" spans="1:16">
      <c r="A130" s="11">
        <v>128</v>
      </c>
      <c r="B130" s="11">
        <v>144.0000000000006</v>
      </c>
      <c r="C130" s="11">
        <v>29.787500000000165</v>
      </c>
      <c r="D130" s="11">
        <v>-31.99999999999654</v>
      </c>
      <c r="E130" s="11">
        <v>144.00000000000068</v>
      </c>
      <c r="F130" s="11">
        <v>25.592187500000339</v>
      </c>
      <c r="G130" s="11">
        <v>-34.422164801206435</v>
      </c>
      <c r="J130" s="11">
        <v>128</v>
      </c>
      <c r="K130" s="11">
        <f t="shared" si="12"/>
        <v>144.0000000000006</v>
      </c>
      <c r="L130" s="11">
        <f t="shared" si="13"/>
        <v>31.99999999999654</v>
      </c>
      <c r="M130" s="11">
        <f t="shared" si="14"/>
        <v>29.787500000000165</v>
      </c>
      <c r="N130" s="11">
        <f t="shared" si="15"/>
        <v>144.00000000000068</v>
      </c>
      <c r="O130" s="11">
        <f t="shared" si="16"/>
        <v>34.422164801206435</v>
      </c>
      <c r="P130" s="11">
        <f t="shared" si="17"/>
        <v>25.592187500000339</v>
      </c>
    </row>
    <row r="131" spans="1:16">
      <c r="A131" s="11">
        <v>129</v>
      </c>
      <c r="B131" s="11">
        <v>144.00000000000023</v>
      </c>
      <c r="C131" s="11">
        <v>25.592187500000414</v>
      </c>
      <c r="D131" s="11">
        <v>-34.422164801206563</v>
      </c>
      <c r="E131" s="11">
        <v>135.37500000000063</v>
      </c>
      <c r="F131" s="11">
        <v>29.787500000000314</v>
      </c>
      <c r="G131" s="11">
        <v>-31.999999999996412</v>
      </c>
      <c r="J131" s="11">
        <v>129</v>
      </c>
      <c r="K131" s="11">
        <f t="shared" si="12"/>
        <v>144.00000000000023</v>
      </c>
      <c r="L131" s="11">
        <f t="shared" si="13"/>
        <v>34.422164801206563</v>
      </c>
      <c r="M131" s="11">
        <f t="shared" si="14"/>
        <v>25.592187500000414</v>
      </c>
      <c r="N131" s="11">
        <f t="shared" si="15"/>
        <v>135.37500000000063</v>
      </c>
      <c r="O131" s="11">
        <f t="shared" si="16"/>
        <v>31.999999999996412</v>
      </c>
      <c r="P131" s="11">
        <f t="shared" si="17"/>
        <v>29.787500000000314</v>
      </c>
    </row>
    <row r="132" spans="1:16">
      <c r="A132" s="11">
        <v>130</v>
      </c>
      <c r="B132" s="11">
        <v>152.62500000000063</v>
      </c>
      <c r="C132" s="11">
        <v>29.787500000000314</v>
      </c>
      <c r="D132" s="11">
        <v>-31.999999999998082</v>
      </c>
      <c r="E132" s="11">
        <v>144.00000000000023</v>
      </c>
      <c r="F132" s="11">
        <v>25.592187500000414</v>
      </c>
      <c r="G132" s="11">
        <v>-34.422164801206563</v>
      </c>
      <c r="J132" s="11">
        <v>130</v>
      </c>
      <c r="K132" s="11">
        <f t="shared" ref="K132:K195" si="18">$Y$11*B132+$Z$11*C132+$AA$11*D132</f>
        <v>152.62500000000063</v>
      </c>
      <c r="L132" s="11">
        <f t="shared" ref="L132:L195" si="19">$Y$12*B132+$Z$12*C132+$AA$12*D132</f>
        <v>31.999999999998082</v>
      </c>
      <c r="M132" s="11">
        <f t="shared" ref="M132:M195" si="20">$Y$13*B132+$Z$13*C132+$AA$13*D132</f>
        <v>29.787500000000314</v>
      </c>
      <c r="N132" s="11">
        <f t="shared" ref="N132:N195" si="21">$Y$11*E132+$Z$11*F132+$AA$11*G132</f>
        <v>144.00000000000023</v>
      </c>
      <c r="O132" s="11">
        <f t="shared" ref="O132:O195" si="22">$Y$12*E132+$Z$12*F132+$AA$12*G132</f>
        <v>34.422164801206563</v>
      </c>
      <c r="P132" s="11">
        <f t="shared" ref="P132:P195" si="23">$Y$13*E132+$Z$13*F132+$AA$13*G132</f>
        <v>25.592187500000414</v>
      </c>
    </row>
    <row r="133" spans="1:16">
      <c r="A133" s="11">
        <v>131</v>
      </c>
      <c r="B133" s="11">
        <v>144.00000000000068</v>
      </c>
      <c r="C133" s="11">
        <v>25.592187500000339</v>
      </c>
      <c r="D133" s="11">
        <v>-34.422164801206435</v>
      </c>
      <c r="E133" s="11">
        <v>135.3750000000006</v>
      </c>
      <c r="F133" s="11">
        <v>24.193750000000165</v>
      </c>
      <c r="G133" s="11">
        <v>-31.99999999999654</v>
      </c>
      <c r="J133" s="11">
        <v>131</v>
      </c>
      <c r="K133" s="11">
        <f t="shared" si="18"/>
        <v>144.00000000000068</v>
      </c>
      <c r="L133" s="11">
        <f t="shared" si="19"/>
        <v>34.422164801206435</v>
      </c>
      <c r="M133" s="11">
        <f t="shared" si="20"/>
        <v>25.592187500000339</v>
      </c>
      <c r="N133" s="11">
        <f t="shared" si="21"/>
        <v>135.3750000000006</v>
      </c>
      <c r="O133" s="11">
        <f t="shared" si="22"/>
        <v>31.99999999999654</v>
      </c>
      <c r="P133" s="11">
        <f t="shared" si="23"/>
        <v>24.193750000000165</v>
      </c>
    </row>
    <row r="134" spans="1:16">
      <c r="A134" s="11">
        <v>132</v>
      </c>
      <c r="B134" s="11">
        <v>152.6250000000006</v>
      </c>
      <c r="C134" s="11">
        <v>24.193749999999191</v>
      </c>
      <c r="D134" s="11">
        <v>-31.999999999996525</v>
      </c>
      <c r="E134" s="11">
        <v>144.00000000000068</v>
      </c>
      <c r="F134" s="11">
        <v>25.592187500000339</v>
      </c>
      <c r="G134" s="11">
        <v>-34.422164801206435</v>
      </c>
      <c r="J134" s="11">
        <v>132</v>
      </c>
      <c r="K134" s="11">
        <f t="shared" si="18"/>
        <v>152.6250000000006</v>
      </c>
      <c r="L134" s="11">
        <f t="shared" si="19"/>
        <v>31.999999999996525</v>
      </c>
      <c r="M134" s="11">
        <f t="shared" si="20"/>
        <v>24.193749999999191</v>
      </c>
      <c r="N134" s="11">
        <f t="shared" si="21"/>
        <v>144.00000000000068</v>
      </c>
      <c r="O134" s="11">
        <f t="shared" si="22"/>
        <v>34.422164801206435</v>
      </c>
      <c r="P134" s="11">
        <f t="shared" si="23"/>
        <v>25.592187500000339</v>
      </c>
    </row>
    <row r="135" spans="1:16">
      <c r="A135" s="11">
        <v>133</v>
      </c>
      <c r="B135" s="11">
        <v>161.25000000000028</v>
      </c>
      <c r="C135" s="11">
        <v>29.787500000000016</v>
      </c>
      <c r="D135" s="11">
        <v>-31.999999999998295</v>
      </c>
      <c r="E135" s="11">
        <v>161.25000000000037</v>
      </c>
      <c r="F135" s="11">
        <v>25.59218750000019</v>
      </c>
      <c r="G135" s="11">
        <v>-34.42216480120819</v>
      </c>
      <c r="J135" s="11">
        <v>133</v>
      </c>
      <c r="K135" s="11">
        <f t="shared" si="18"/>
        <v>161.25000000000028</v>
      </c>
      <c r="L135" s="11">
        <f t="shared" si="19"/>
        <v>31.999999999998295</v>
      </c>
      <c r="M135" s="11">
        <f t="shared" si="20"/>
        <v>29.787500000000016</v>
      </c>
      <c r="N135" s="11">
        <f t="shared" si="21"/>
        <v>161.25000000000037</v>
      </c>
      <c r="O135" s="11">
        <f t="shared" si="22"/>
        <v>34.42216480120819</v>
      </c>
      <c r="P135" s="11">
        <f t="shared" si="23"/>
        <v>25.59218750000019</v>
      </c>
    </row>
    <row r="136" spans="1:16">
      <c r="A136" s="11">
        <v>134</v>
      </c>
      <c r="B136" s="11">
        <v>161.24999999999991</v>
      </c>
      <c r="C136" s="11">
        <v>25.592187500000264</v>
      </c>
      <c r="D136" s="11">
        <v>-34.422164801208318</v>
      </c>
      <c r="E136" s="11">
        <v>152.62500000000031</v>
      </c>
      <c r="F136" s="11">
        <v>29.787500000000165</v>
      </c>
      <c r="G136" s="11">
        <v>-31.999999999998167</v>
      </c>
      <c r="J136" s="11">
        <v>134</v>
      </c>
      <c r="K136" s="11">
        <f t="shared" si="18"/>
        <v>161.24999999999991</v>
      </c>
      <c r="L136" s="11">
        <f t="shared" si="19"/>
        <v>34.422164801208318</v>
      </c>
      <c r="M136" s="11">
        <f t="shared" si="20"/>
        <v>25.592187500000264</v>
      </c>
      <c r="N136" s="11">
        <f t="shared" si="21"/>
        <v>152.62500000000031</v>
      </c>
      <c r="O136" s="11">
        <f t="shared" si="22"/>
        <v>31.999999999998167</v>
      </c>
      <c r="P136" s="11">
        <f t="shared" si="23"/>
        <v>29.787500000000165</v>
      </c>
    </row>
    <row r="137" spans="1:16">
      <c r="A137" s="11">
        <v>135</v>
      </c>
      <c r="B137" s="11">
        <v>169.87500000000031</v>
      </c>
      <c r="C137" s="11">
        <v>29.787500000000165</v>
      </c>
      <c r="D137" s="11">
        <v>-31.999999999999837</v>
      </c>
      <c r="E137" s="11">
        <v>161.24999999999991</v>
      </c>
      <c r="F137" s="11">
        <v>25.592187500000264</v>
      </c>
      <c r="G137" s="11">
        <v>-34.422164801208318</v>
      </c>
      <c r="J137" s="11">
        <v>135</v>
      </c>
      <c r="K137" s="11">
        <f t="shared" si="18"/>
        <v>169.87500000000031</v>
      </c>
      <c r="L137" s="11">
        <f t="shared" si="19"/>
        <v>31.999999999999837</v>
      </c>
      <c r="M137" s="11">
        <f t="shared" si="20"/>
        <v>29.787500000000165</v>
      </c>
      <c r="N137" s="11">
        <f t="shared" si="21"/>
        <v>161.24999999999991</v>
      </c>
      <c r="O137" s="11">
        <f t="shared" si="22"/>
        <v>34.422164801208318</v>
      </c>
      <c r="P137" s="11">
        <f t="shared" si="23"/>
        <v>25.592187500000264</v>
      </c>
    </row>
    <row r="138" spans="1:16">
      <c r="A138" s="11">
        <v>136</v>
      </c>
      <c r="B138" s="11">
        <v>161.25000000000037</v>
      </c>
      <c r="C138" s="11">
        <v>25.59218750000019</v>
      </c>
      <c r="D138" s="11">
        <v>-34.42216480120819</v>
      </c>
      <c r="E138" s="11">
        <v>152.62500000000028</v>
      </c>
      <c r="F138" s="11">
        <v>24.193750000000016</v>
      </c>
      <c r="G138" s="11">
        <v>-31.999999999998295</v>
      </c>
      <c r="J138" s="11">
        <v>136</v>
      </c>
      <c r="K138" s="11">
        <f t="shared" si="18"/>
        <v>161.25000000000037</v>
      </c>
      <c r="L138" s="11">
        <f t="shared" si="19"/>
        <v>34.42216480120819</v>
      </c>
      <c r="M138" s="11">
        <f t="shared" si="20"/>
        <v>25.59218750000019</v>
      </c>
      <c r="N138" s="11">
        <f t="shared" si="21"/>
        <v>152.62500000000028</v>
      </c>
      <c r="O138" s="11">
        <f t="shared" si="22"/>
        <v>31.999999999998295</v>
      </c>
      <c r="P138" s="11">
        <f t="shared" si="23"/>
        <v>24.193750000000016</v>
      </c>
    </row>
    <row r="139" spans="1:16">
      <c r="A139" s="11">
        <v>137</v>
      </c>
      <c r="B139" s="11">
        <v>169.87500000000028</v>
      </c>
      <c r="C139" s="11">
        <v>24.193749999999042</v>
      </c>
      <c r="D139" s="11">
        <v>-31.99999999999828</v>
      </c>
      <c r="E139" s="11">
        <v>161.25000000000037</v>
      </c>
      <c r="F139" s="11">
        <v>25.59218750000019</v>
      </c>
      <c r="G139" s="11">
        <v>-34.42216480120819</v>
      </c>
      <c r="J139" s="11">
        <v>137</v>
      </c>
      <c r="K139" s="11">
        <f t="shared" si="18"/>
        <v>169.87500000000028</v>
      </c>
      <c r="L139" s="11">
        <f t="shared" si="19"/>
        <v>31.99999999999828</v>
      </c>
      <c r="M139" s="11">
        <f t="shared" si="20"/>
        <v>24.193749999999042</v>
      </c>
      <c r="N139" s="11">
        <f t="shared" si="21"/>
        <v>161.25000000000037</v>
      </c>
      <c r="O139" s="11">
        <f t="shared" si="22"/>
        <v>34.42216480120819</v>
      </c>
      <c r="P139" s="11">
        <f t="shared" si="23"/>
        <v>25.59218750000019</v>
      </c>
    </row>
    <row r="140" spans="1:16">
      <c r="A140" s="11">
        <v>138</v>
      </c>
      <c r="B140" s="11">
        <v>178.49999999999997</v>
      </c>
      <c r="C140" s="11">
        <v>29.787500000000012</v>
      </c>
      <c r="D140" s="11">
        <v>-31.999999999999964</v>
      </c>
      <c r="E140" s="11">
        <v>178.50000000000006</v>
      </c>
      <c r="F140" s="11">
        <v>25.592187500000186</v>
      </c>
      <c r="G140" s="11">
        <v>-34.42216480120986</v>
      </c>
      <c r="J140" s="11">
        <v>138</v>
      </c>
      <c r="K140" s="11">
        <f t="shared" si="18"/>
        <v>178.49999999999997</v>
      </c>
      <c r="L140" s="11">
        <f t="shared" si="19"/>
        <v>31.999999999999964</v>
      </c>
      <c r="M140" s="11">
        <f t="shared" si="20"/>
        <v>29.787500000000012</v>
      </c>
      <c r="N140" s="11">
        <f t="shared" si="21"/>
        <v>178.50000000000006</v>
      </c>
      <c r="O140" s="11">
        <f t="shared" si="22"/>
        <v>34.42216480120986</v>
      </c>
      <c r="P140" s="11">
        <f t="shared" si="23"/>
        <v>25.592187500000186</v>
      </c>
    </row>
    <row r="141" spans="1:16">
      <c r="A141" s="11">
        <v>139</v>
      </c>
      <c r="B141" s="11">
        <v>178.4999999999996</v>
      </c>
      <c r="C141" s="11">
        <v>25.592187500000261</v>
      </c>
      <c r="D141" s="11">
        <v>-34.422164801209988</v>
      </c>
      <c r="E141" s="11">
        <v>169.875</v>
      </c>
      <c r="F141" s="11">
        <v>29.787500000000161</v>
      </c>
      <c r="G141" s="11">
        <v>-31.999999999999837</v>
      </c>
      <c r="J141" s="11">
        <v>139</v>
      </c>
      <c r="K141" s="11">
        <f t="shared" si="18"/>
        <v>178.4999999999996</v>
      </c>
      <c r="L141" s="11">
        <f t="shared" si="19"/>
        <v>34.422164801209988</v>
      </c>
      <c r="M141" s="11">
        <f t="shared" si="20"/>
        <v>25.592187500000261</v>
      </c>
      <c r="N141" s="11">
        <f t="shared" si="21"/>
        <v>169.875</v>
      </c>
      <c r="O141" s="11">
        <f t="shared" si="22"/>
        <v>31.999999999999837</v>
      </c>
      <c r="P141" s="11">
        <f t="shared" si="23"/>
        <v>29.787500000000161</v>
      </c>
    </row>
    <row r="142" spans="1:16">
      <c r="A142" s="11">
        <v>140</v>
      </c>
      <c r="B142" s="11">
        <v>187.125</v>
      </c>
      <c r="C142" s="11">
        <v>29.787500000000161</v>
      </c>
      <c r="D142" s="11">
        <v>-32.000000000001506</v>
      </c>
      <c r="E142" s="11">
        <v>178.4999999999996</v>
      </c>
      <c r="F142" s="11">
        <v>25.592187500000261</v>
      </c>
      <c r="G142" s="11">
        <v>-34.422164801209988</v>
      </c>
      <c r="J142" s="11">
        <v>140</v>
      </c>
      <c r="K142" s="11">
        <f t="shared" si="18"/>
        <v>187.125</v>
      </c>
      <c r="L142" s="11">
        <f t="shared" si="19"/>
        <v>32.000000000001506</v>
      </c>
      <c r="M142" s="11">
        <f t="shared" si="20"/>
        <v>29.787500000000161</v>
      </c>
      <c r="N142" s="11">
        <f t="shared" si="21"/>
        <v>178.4999999999996</v>
      </c>
      <c r="O142" s="11">
        <f t="shared" si="22"/>
        <v>34.422164801209988</v>
      </c>
      <c r="P142" s="11">
        <f t="shared" si="23"/>
        <v>25.592187500000261</v>
      </c>
    </row>
    <row r="143" spans="1:16">
      <c r="A143" s="11">
        <v>141</v>
      </c>
      <c r="B143" s="11">
        <v>178.50000000000006</v>
      </c>
      <c r="C143" s="11">
        <v>25.592187500000186</v>
      </c>
      <c r="D143" s="11">
        <v>-34.42216480120986</v>
      </c>
      <c r="E143" s="11">
        <v>169.87499999999997</v>
      </c>
      <c r="F143" s="11">
        <v>24.193750000000012</v>
      </c>
      <c r="G143" s="11">
        <v>-31.999999999999964</v>
      </c>
      <c r="J143" s="11">
        <v>141</v>
      </c>
      <c r="K143" s="11">
        <f t="shared" si="18"/>
        <v>178.50000000000006</v>
      </c>
      <c r="L143" s="11">
        <f t="shared" si="19"/>
        <v>34.42216480120986</v>
      </c>
      <c r="M143" s="11">
        <f t="shared" si="20"/>
        <v>25.592187500000186</v>
      </c>
      <c r="N143" s="11">
        <f t="shared" si="21"/>
        <v>169.87499999999997</v>
      </c>
      <c r="O143" s="11">
        <f t="shared" si="22"/>
        <v>31.999999999999964</v>
      </c>
      <c r="P143" s="11">
        <f t="shared" si="23"/>
        <v>24.193750000000012</v>
      </c>
    </row>
    <row r="144" spans="1:16">
      <c r="A144" s="11">
        <v>142</v>
      </c>
      <c r="B144" s="11">
        <v>187.12499999999997</v>
      </c>
      <c r="C144" s="11">
        <v>24.193749999999039</v>
      </c>
      <c r="D144" s="11">
        <v>-31.99999999999995</v>
      </c>
      <c r="E144" s="11">
        <v>178.50000000000006</v>
      </c>
      <c r="F144" s="11">
        <v>25.592187500000186</v>
      </c>
      <c r="G144" s="11">
        <v>-34.42216480120986</v>
      </c>
      <c r="J144" s="11">
        <v>142</v>
      </c>
      <c r="K144" s="11">
        <f t="shared" si="18"/>
        <v>187.12499999999997</v>
      </c>
      <c r="L144" s="11">
        <f t="shared" si="19"/>
        <v>31.99999999999995</v>
      </c>
      <c r="M144" s="11">
        <f t="shared" si="20"/>
        <v>24.193749999999039</v>
      </c>
      <c r="N144" s="11">
        <f t="shared" si="21"/>
        <v>178.50000000000006</v>
      </c>
      <c r="O144" s="11">
        <f t="shared" si="22"/>
        <v>34.42216480120986</v>
      </c>
      <c r="P144" s="11">
        <f t="shared" si="23"/>
        <v>25.592187500000186</v>
      </c>
    </row>
    <row r="145" spans="1:16">
      <c r="A145" s="11">
        <v>143</v>
      </c>
      <c r="B145" s="11">
        <v>14.624999999999943</v>
      </c>
      <c r="C145" s="11">
        <v>24.193750000000041</v>
      </c>
      <c r="D145" s="11">
        <v>-31.999999999999993</v>
      </c>
      <c r="E145" s="11">
        <v>23.249999999999972</v>
      </c>
      <c r="F145" s="11">
        <v>18.600000000000041</v>
      </c>
      <c r="G145" s="11">
        <v>-31.999999999999993</v>
      </c>
      <c r="J145" s="11">
        <v>143</v>
      </c>
      <c r="K145" s="11">
        <f t="shared" si="18"/>
        <v>14.624999999999943</v>
      </c>
      <c r="L145" s="11">
        <f t="shared" si="19"/>
        <v>31.999999999999993</v>
      </c>
      <c r="M145" s="11">
        <f t="shared" si="20"/>
        <v>24.193750000000041</v>
      </c>
      <c r="N145" s="11">
        <f t="shared" si="21"/>
        <v>23.249999999999972</v>
      </c>
      <c r="O145" s="11">
        <f t="shared" si="22"/>
        <v>31.999999999999993</v>
      </c>
      <c r="P145" s="11">
        <f t="shared" si="23"/>
        <v>18.600000000000041</v>
      </c>
    </row>
    <row r="146" spans="1:16">
      <c r="A146" s="11">
        <v>144</v>
      </c>
      <c r="B146" s="11">
        <v>49.124999999999972</v>
      </c>
      <c r="C146" s="11">
        <v>24.193750000000041</v>
      </c>
      <c r="D146" s="11">
        <v>-31.999999999999993</v>
      </c>
      <c r="E146" s="11">
        <v>57.749999999999972</v>
      </c>
      <c r="F146" s="11">
        <v>18.600000000000041</v>
      </c>
      <c r="G146" s="11">
        <v>-31.999999999999979</v>
      </c>
      <c r="J146" s="11">
        <v>144</v>
      </c>
      <c r="K146" s="11">
        <f t="shared" si="18"/>
        <v>49.124999999999972</v>
      </c>
      <c r="L146" s="11">
        <f t="shared" si="19"/>
        <v>31.999999999999993</v>
      </c>
      <c r="M146" s="11">
        <f t="shared" si="20"/>
        <v>24.193750000000041</v>
      </c>
      <c r="N146" s="11">
        <f t="shared" si="21"/>
        <v>57.749999999999972</v>
      </c>
      <c r="O146" s="11">
        <f t="shared" si="22"/>
        <v>31.999999999999979</v>
      </c>
      <c r="P146" s="11">
        <f t="shared" si="23"/>
        <v>18.600000000000041</v>
      </c>
    </row>
    <row r="147" spans="1:16">
      <c r="A147" s="11">
        <v>145</v>
      </c>
      <c r="B147" s="11">
        <v>49.124999999999972</v>
      </c>
      <c r="C147" s="11">
        <v>24.193750000000041</v>
      </c>
      <c r="D147" s="11">
        <v>-31.999999999999993</v>
      </c>
      <c r="E147" s="11">
        <v>40.499999999999972</v>
      </c>
      <c r="F147" s="11">
        <v>18.600000000000041</v>
      </c>
      <c r="G147" s="11">
        <v>-31.999999999999993</v>
      </c>
      <c r="J147" s="11">
        <v>145</v>
      </c>
      <c r="K147" s="11">
        <f t="shared" si="18"/>
        <v>49.124999999999972</v>
      </c>
      <c r="L147" s="11">
        <f t="shared" si="19"/>
        <v>31.999999999999993</v>
      </c>
      <c r="M147" s="11">
        <f t="shared" si="20"/>
        <v>24.193750000000041</v>
      </c>
      <c r="N147" s="11">
        <f t="shared" si="21"/>
        <v>40.499999999999972</v>
      </c>
      <c r="O147" s="11">
        <f t="shared" si="22"/>
        <v>31.999999999999993</v>
      </c>
      <c r="P147" s="11">
        <f t="shared" si="23"/>
        <v>18.600000000000041</v>
      </c>
    </row>
    <row r="148" spans="1:16">
      <c r="A148" s="11">
        <v>146</v>
      </c>
      <c r="B148" s="11">
        <v>31.874999999999972</v>
      </c>
      <c r="C148" s="11">
        <v>24.193750000000041</v>
      </c>
      <c r="D148" s="11">
        <v>-31.999999999999993</v>
      </c>
      <c r="E148" s="11">
        <v>40.499999999999972</v>
      </c>
      <c r="F148" s="11">
        <v>18.600000000000041</v>
      </c>
      <c r="G148" s="11">
        <v>-31.999999999999993</v>
      </c>
      <c r="J148" s="11">
        <v>146</v>
      </c>
      <c r="K148" s="11">
        <f t="shared" si="18"/>
        <v>31.874999999999972</v>
      </c>
      <c r="L148" s="11">
        <f t="shared" si="19"/>
        <v>31.999999999999993</v>
      </c>
      <c r="M148" s="11">
        <f t="shared" si="20"/>
        <v>24.193750000000041</v>
      </c>
      <c r="N148" s="11">
        <f t="shared" si="21"/>
        <v>40.499999999999972</v>
      </c>
      <c r="O148" s="11">
        <f t="shared" si="22"/>
        <v>31.999999999999993</v>
      </c>
      <c r="P148" s="11">
        <f t="shared" si="23"/>
        <v>18.600000000000041</v>
      </c>
    </row>
    <row r="149" spans="1:16">
      <c r="A149" s="11">
        <v>147</v>
      </c>
      <c r="B149" s="11">
        <v>31.874999999999972</v>
      </c>
      <c r="C149" s="11">
        <v>24.193750000000041</v>
      </c>
      <c r="D149" s="11">
        <v>-31.999999999999993</v>
      </c>
      <c r="E149" s="11">
        <v>23.249999999999972</v>
      </c>
      <c r="F149" s="11">
        <v>18.600000000000041</v>
      </c>
      <c r="G149" s="11">
        <v>-31.999999999999993</v>
      </c>
      <c r="J149" s="11">
        <v>147</v>
      </c>
      <c r="K149" s="11">
        <f t="shared" si="18"/>
        <v>31.874999999999972</v>
      </c>
      <c r="L149" s="11">
        <f t="shared" si="19"/>
        <v>31.999999999999993</v>
      </c>
      <c r="M149" s="11">
        <f t="shared" si="20"/>
        <v>24.193750000000041</v>
      </c>
      <c r="N149" s="11">
        <f t="shared" si="21"/>
        <v>23.249999999999972</v>
      </c>
      <c r="O149" s="11">
        <f t="shared" si="22"/>
        <v>31.999999999999993</v>
      </c>
      <c r="P149" s="11">
        <f t="shared" si="23"/>
        <v>18.600000000000041</v>
      </c>
    </row>
    <row r="150" spans="1:16">
      <c r="A150" s="11">
        <v>148</v>
      </c>
      <c r="B150" s="11">
        <v>83.624999999999972</v>
      </c>
      <c r="C150" s="11">
        <v>24.193750000000026</v>
      </c>
      <c r="D150" s="11">
        <v>-31.999999999999979</v>
      </c>
      <c r="E150" s="11">
        <v>92.249999999999943</v>
      </c>
      <c r="F150" s="11">
        <v>18.600000000000026</v>
      </c>
      <c r="G150" s="11">
        <v>-31.999999999999979</v>
      </c>
      <c r="J150" s="11">
        <v>148</v>
      </c>
      <c r="K150" s="11">
        <f t="shared" si="18"/>
        <v>83.624999999999972</v>
      </c>
      <c r="L150" s="11">
        <f t="shared" si="19"/>
        <v>31.999999999999979</v>
      </c>
      <c r="M150" s="11">
        <f t="shared" si="20"/>
        <v>24.193750000000026</v>
      </c>
      <c r="N150" s="11">
        <f t="shared" si="21"/>
        <v>92.249999999999943</v>
      </c>
      <c r="O150" s="11">
        <f t="shared" si="22"/>
        <v>31.999999999999979</v>
      </c>
      <c r="P150" s="11">
        <f t="shared" si="23"/>
        <v>18.600000000000026</v>
      </c>
    </row>
    <row r="151" spans="1:16">
      <c r="A151" s="11">
        <v>149</v>
      </c>
      <c r="B151" s="11">
        <v>83.624999999999972</v>
      </c>
      <c r="C151" s="11">
        <v>24.193750000000026</v>
      </c>
      <c r="D151" s="11">
        <v>-31.999999999999979</v>
      </c>
      <c r="E151" s="11">
        <v>74.999999999999972</v>
      </c>
      <c r="F151" s="11">
        <v>18.600000000000026</v>
      </c>
      <c r="G151" s="11">
        <v>-31.999999999999979</v>
      </c>
      <c r="J151" s="11">
        <v>149</v>
      </c>
      <c r="K151" s="11">
        <f t="shared" si="18"/>
        <v>83.624999999999972</v>
      </c>
      <c r="L151" s="11">
        <f t="shared" si="19"/>
        <v>31.999999999999979</v>
      </c>
      <c r="M151" s="11">
        <f t="shared" si="20"/>
        <v>24.193750000000026</v>
      </c>
      <c r="N151" s="11">
        <f t="shared" si="21"/>
        <v>74.999999999999972</v>
      </c>
      <c r="O151" s="11">
        <f t="shared" si="22"/>
        <v>31.999999999999979</v>
      </c>
      <c r="P151" s="11">
        <f t="shared" si="23"/>
        <v>18.600000000000026</v>
      </c>
    </row>
    <row r="152" spans="1:16">
      <c r="A152" s="11">
        <v>150</v>
      </c>
      <c r="B152" s="11">
        <v>66.374999999999972</v>
      </c>
      <c r="C152" s="11">
        <v>24.193750000000041</v>
      </c>
      <c r="D152" s="11">
        <v>-31.999999999999979</v>
      </c>
      <c r="E152" s="11">
        <v>74.999999999999972</v>
      </c>
      <c r="F152" s="11">
        <v>18.600000000000026</v>
      </c>
      <c r="G152" s="11">
        <v>-31.999999999999979</v>
      </c>
      <c r="J152" s="11">
        <v>150</v>
      </c>
      <c r="K152" s="11">
        <f t="shared" si="18"/>
        <v>66.374999999999972</v>
      </c>
      <c r="L152" s="11">
        <f t="shared" si="19"/>
        <v>31.999999999999979</v>
      </c>
      <c r="M152" s="11">
        <f t="shared" si="20"/>
        <v>24.193750000000041</v>
      </c>
      <c r="N152" s="11">
        <f t="shared" si="21"/>
        <v>74.999999999999972</v>
      </c>
      <c r="O152" s="11">
        <f t="shared" si="22"/>
        <v>31.999999999999979</v>
      </c>
      <c r="P152" s="11">
        <f t="shared" si="23"/>
        <v>18.600000000000026</v>
      </c>
    </row>
    <row r="153" spans="1:16">
      <c r="A153" s="11">
        <v>151</v>
      </c>
      <c r="B153" s="11">
        <v>66.374999999999972</v>
      </c>
      <c r="C153" s="11">
        <v>24.193750000000041</v>
      </c>
      <c r="D153" s="11">
        <v>-31.999999999999979</v>
      </c>
      <c r="E153" s="11">
        <v>57.749999999999972</v>
      </c>
      <c r="F153" s="11">
        <v>18.600000000000041</v>
      </c>
      <c r="G153" s="11">
        <v>-31.999999999999979</v>
      </c>
      <c r="J153" s="11">
        <v>151</v>
      </c>
      <c r="K153" s="11">
        <f t="shared" si="18"/>
        <v>66.374999999999972</v>
      </c>
      <c r="L153" s="11">
        <f t="shared" si="19"/>
        <v>31.999999999999979</v>
      </c>
      <c r="M153" s="11">
        <f t="shared" si="20"/>
        <v>24.193750000000041</v>
      </c>
      <c r="N153" s="11">
        <f t="shared" si="21"/>
        <v>57.749999999999972</v>
      </c>
      <c r="O153" s="11">
        <f t="shared" si="22"/>
        <v>31.999999999999979</v>
      </c>
      <c r="P153" s="11">
        <f t="shared" si="23"/>
        <v>18.600000000000041</v>
      </c>
    </row>
    <row r="154" spans="1:16">
      <c r="A154" s="11">
        <v>152</v>
      </c>
      <c r="B154" s="11">
        <v>118.12499999999997</v>
      </c>
      <c r="C154" s="11">
        <v>24.193750000000026</v>
      </c>
      <c r="D154" s="11">
        <v>-31.999999999999964</v>
      </c>
      <c r="E154" s="11">
        <v>126.74999999999997</v>
      </c>
      <c r="F154" s="11">
        <v>18.600000000000026</v>
      </c>
      <c r="G154" s="11">
        <v>-31.999999999999964</v>
      </c>
      <c r="J154" s="11">
        <v>152</v>
      </c>
      <c r="K154" s="11">
        <f t="shared" si="18"/>
        <v>118.12499999999997</v>
      </c>
      <c r="L154" s="11">
        <f t="shared" si="19"/>
        <v>31.999999999999964</v>
      </c>
      <c r="M154" s="11">
        <f t="shared" si="20"/>
        <v>24.193750000000026</v>
      </c>
      <c r="N154" s="11">
        <f t="shared" si="21"/>
        <v>126.74999999999997</v>
      </c>
      <c r="O154" s="11">
        <f t="shared" si="22"/>
        <v>31.999999999999964</v>
      </c>
      <c r="P154" s="11">
        <f t="shared" si="23"/>
        <v>18.600000000000026</v>
      </c>
    </row>
    <row r="155" spans="1:16">
      <c r="A155" s="11">
        <v>153</v>
      </c>
      <c r="B155" s="11">
        <v>118.12499999999997</v>
      </c>
      <c r="C155" s="11">
        <v>24.193750000000026</v>
      </c>
      <c r="D155" s="11">
        <v>-31.999999999999964</v>
      </c>
      <c r="E155" s="11">
        <v>109.49999999999994</v>
      </c>
      <c r="F155" s="11">
        <v>18.600000000000026</v>
      </c>
      <c r="G155" s="11">
        <v>-31.999999999999979</v>
      </c>
      <c r="J155" s="11">
        <v>153</v>
      </c>
      <c r="K155" s="11">
        <f t="shared" si="18"/>
        <v>118.12499999999997</v>
      </c>
      <c r="L155" s="11">
        <f t="shared" si="19"/>
        <v>31.999999999999964</v>
      </c>
      <c r="M155" s="11">
        <f t="shared" si="20"/>
        <v>24.193750000000026</v>
      </c>
      <c r="N155" s="11">
        <f t="shared" si="21"/>
        <v>109.49999999999994</v>
      </c>
      <c r="O155" s="11">
        <f t="shared" si="22"/>
        <v>31.999999999999979</v>
      </c>
      <c r="P155" s="11">
        <f t="shared" si="23"/>
        <v>18.600000000000026</v>
      </c>
    </row>
    <row r="156" spans="1:16">
      <c r="A156" s="11">
        <v>154</v>
      </c>
      <c r="B156" s="11">
        <v>100.87499999999994</v>
      </c>
      <c r="C156" s="11">
        <v>24.193750000000026</v>
      </c>
      <c r="D156" s="11">
        <v>-31.999999999999979</v>
      </c>
      <c r="E156" s="11">
        <v>109.49999999999994</v>
      </c>
      <c r="F156" s="11">
        <v>18.600000000000026</v>
      </c>
      <c r="G156" s="11">
        <v>-31.999999999999979</v>
      </c>
      <c r="J156" s="11">
        <v>154</v>
      </c>
      <c r="K156" s="11">
        <f t="shared" si="18"/>
        <v>100.87499999999994</v>
      </c>
      <c r="L156" s="11">
        <f t="shared" si="19"/>
        <v>31.999999999999979</v>
      </c>
      <c r="M156" s="11">
        <f t="shared" si="20"/>
        <v>24.193750000000026</v>
      </c>
      <c r="N156" s="11">
        <f t="shared" si="21"/>
        <v>109.49999999999994</v>
      </c>
      <c r="O156" s="11">
        <f t="shared" si="22"/>
        <v>31.999999999999979</v>
      </c>
      <c r="P156" s="11">
        <f t="shared" si="23"/>
        <v>18.600000000000026</v>
      </c>
    </row>
    <row r="157" spans="1:16">
      <c r="A157" s="11">
        <v>155</v>
      </c>
      <c r="B157" s="11">
        <v>100.87499999999994</v>
      </c>
      <c r="C157" s="11">
        <v>24.193750000000026</v>
      </c>
      <c r="D157" s="11">
        <v>-31.999999999999979</v>
      </c>
      <c r="E157" s="11">
        <v>92.249999999999943</v>
      </c>
      <c r="F157" s="11">
        <v>18.600000000000026</v>
      </c>
      <c r="G157" s="11">
        <v>-31.999999999999979</v>
      </c>
      <c r="J157" s="11">
        <v>155</v>
      </c>
      <c r="K157" s="11">
        <f t="shared" si="18"/>
        <v>100.87499999999994</v>
      </c>
      <c r="L157" s="11">
        <f t="shared" si="19"/>
        <v>31.999999999999979</v>
      </c>
      <c r="M157" s="11">
        <f t="shared" si="20"/>
        <v>24.193750000000026</v>
      </c>
      <c r="N157" s="11">
        <f t="shared" si="21"/>
        <v>92.249999999999943</v>
      </c>
      <c r="O157" s="11">
        <f t="shared" si="22"/>
        <v>31.999999999999979</v>
      </c>
      <c r="P157" s="11">
        <f t="shared" si="23"/>
        <v>18.600000000000026</v>
      </c>
    </row>
    <row r="158" spans="1:16">
      <c r="A158" s="11">
        <v>156</v>
      </c>
      <c r="B158" s="11">
        <v>152.62499999999997</v>
      </c>
      <c r="C158" s="11">
        <v>24.193750000000026</v>
      </c>
      <c r="D158" s="11">
        <v>-31.999999999999964</v>
      </c>
      <c r="E158" s="11">
        <v>161.24999999999997</v>
      </c>
      <c r="F158" s="11">
        <v>18.600000000000026</v>
      </c>
      <c r="G158" s="11">
        <v>-31.999999999999964</v>
      </c>
      <c r="J158" s="11">
        <v>156</v>
      </c>
      <c r="K158" s="11">
        <f t="shared" si="18"/>
        <v>152.62499999999997</v>
      </c>
      <c r="L158" s="11">
        <f t="shared" si="19"/>
        <v>31.999999999999964</v>
      </c>
      <c r="M158" s="11">
        <f t="shared" si="20"/>
        <v>24.193750000000026</v>
      </c>
      <c r="N158" s="11">
        <f t="shared" si="21"/>
        <v>161.24999999999997</v>
      </c>
      <c r="O158" s="11">
        <f t="shared" si="22"/>
        <v>31.999999999999964</v>
      </c>
      <c r="P158" s="11">
        <f t="shared" si="23"/>
        <v>18.600000000000026</v>
      </c>
    </row>
    <row r="159" spans="1:16">
      <c r="A159" s="11">
        <v>157</v>
      </c>
      <c r="B159" s="11">
        <v>152.62499999999997</v>
      </c>
      <c r="C159" s="11">
        <v>24.193750000000026</v>
      </c>
      <c r="D159" s="11">
        <v>-31.999999999999964</v>
      </c>
      <c r="E159" s="11">
        <v>143.99999999999997</v>
      </c>
      <c r="F159" s="11">
        <v>18.600000000000026</v>
      </c>
      <c r="G159" s="11">
        <v>-31.999999999999964</v>
      </c>
      <c r="J159" s="11">
        <v>157</v>
      </c>
      <c r="K159" s="11">
        <f t="shared" si="18"/>
        <v>152.62499999999997</v>
      </c>
      <c r="L159" s="11">
        <f t="shared" si="19"/>
        <v>31.999999999999964</v>
      </c>
      <c r="M159" s="11">
        <f t="shared" si="20"/>
        <v>24.193750000000026</v>
      </c>
      <c r="N159" s="11">
        <f t="shared" si="21"/>
        <v>143.99999999999997</v>
      </c>
      <c r="O159" s="11">
        <f t="shared" si="22"/>
        <v>31.999999999999964</v>
      </c>
      <c r="P159" s="11">
        <f t="shared" si="23"/>
        <v>18.600000000000026</v>
      </c>
    </row>
    <row r="160" spans="1:16">
      <c r="A160" s="11">
        <v>158</v>
      </c>
      <c r="B160" s="11">
        <v>135.37499999999997</v>
      </c>
      <c r="C160" s="11">
        <v>24.193750000000026</v>
      </c>
      <c r="D160" s="11">
        <v>-31.999999999999964</v>
      </c>
      <c r="E160" s="11">
        <v>143.99999999999997</v>
      </c>
      <c r="F160" s="11">
        <v>18.600000000000026</v>
      </c>
      <c r="G160" s="11">
        <v>-31.999999999999964</v>
      </c>
      <c r="J160" s="11">
        <v>158</v>
      </c>
      <c r="K160" s="11">
        <f t="shared" si="18"/>
        <v>135.37499999999997</v>
      </c>
      <c r="L160" s="11">
        <f t="shared" si="19"/>
        <v>31.999999999999964</v>
      </c>
      <c r="M160" s="11">
        <f t="shared" si="20"/>
        <v>24.193750000000026</v>
      </c>
      <c r="N160" s="11">
        <f t="shared" si="21"/>
        <v>143.99999999999997</v>
      </c>
      <c r="O160" s="11">
        <f t="shared" si="22"/>
        <v>31.999999999999964</v>
      </c>
      <c r="P160" s="11">
        <f t="shared" si="23"/>
        <v>18.600000000000026</v>
      </c>
    </row>
    <row r="161" spans="1:16">
      <c r="A161" s="11">
        <v>159</v>
      </c>
      <c r="B161" s="11">
        <v>135.37499999999997</v>
      </c>
      <c r="C161" s="11">
        <v>24.193750000000026</v>
      </c>
      <c r="D161" s="11">
        <v>-31.999999999999964</v>
      </c>
      <c r="E161" s="11">
        <v>126.74999999999997</v>
      </c>
      <c r="F161" s="11">
        <v>18.600000000000026</v>
      </c>
      <c r="G161" s="11">
        <v>-31.999999999999964</v>
      </c>
      <c r="J161" s="11">
        <v>159</v>
      </c>
      <c r="K161" s="11">
        <f t="shared" si="18"/>
        <v>135.37499999999997</v>
      </c>
      <c r="L161" s="11">
        <f t="shared" si="19"/>
        <v>31.999999999999964</v>
      </c>
      <c r="M161" s="11">
        <f t="shared" si="20"/>
        <v>24.193750000000026</v>
      </c>
      <c r="N161" s="11">
        <f t="shared" si="21"/>
        <v>126.74999999999997</v>
      </c>
      <c r="O161" s="11">
        <f t="shared" si="22"/>
        <v>31.999999999999964</v>
      </c>
      <c r="P161" s="11">
        <f t="shared" si="23"/>
        <v>18.600000000000026</v>
      </c>
    </row>
    <row r="162" spans="1:16">
      <c r="A162" s="11">
        <v>160</v>
      </c>
      <c r="B162" s="11">
        <v>187.12499999999997</v>
      </c>
      <c r="C162" s="11">
        <v>24.193750000000012</v>
      </c>
      <c r="D162" s="11">
        <v>-31.99999999999995</v>
      </c>
      <c r="E162" s="11">
        <v>195.74999999999997</v>
      </c>
      <c r="F162" s="11">
        <v>18.600000000000012</v>
      </c>
      <c r="G162" s="11">
        <v>-31.99999999999995</v>
      </c>
      <c r="J162" s="11">
        <v>160</v>
      </c>
      <c r="K162" s="11">
        <f t="shared" si="18"/>
        <v>187.12499999999997</v>
      </c>
      <c r="L162" s="11">
        <f t="shared" si="19"/>
        <v>31.99999999999995</v>
      </c>
      <c r="M162" s="11">
        <f t="shared" si="20"/>
        <v>24.193750000000012</v>
      </c>
      <c r="N162" s="11">
        <f t="shared" si="21"/>
        <v>195.74999999999997</v>
      </c>
      <c r="O162" s="11">
        <f t="shared" si="22"/>
        <v>31.99999999999995</v>
      </c>
      <c r="P162" s="11">
        <f t="shared" si="23"/>
        <v>18.600000000000012</v>
      </c>
    </row>
    <row r="163" spans="1:16">
      <c r="A163" s="11">
        <v>161</v>
      </c>
      <c r="B163" s="11">
        <v>187.12499999999997</v>
      </c>
      <c r="C163" s="11">
        <v>24.193750000000012</v>
      </c>
      <c r="D163" s="11">
        <v>-31.99999999999995</v>
      </c>
      <c r="E163" s="11">
        <v>178.49999999999997</v>
      </c>
      <c r="F163" s="11">
        <v>18.600000000000012</v>
      </c>
      <c r="G163" s="11">
        <v>-31.999999999999964</v>
      </c>
      <c r="J163" s="11">
        <v>161</v>
      </c>
      <c r="K163" s="11">
        <f t="shared" si="18"/>
        <v>187.12499999999997</v>
      </c>
      <c r="L163" s="11">
        <f t="shared" si="19"/>
        <v>31.99999999999995</v>
      </c>
      <c r="M163" s="11">
        <f t="shared" si="20"/>
        <v>24.193750000000012</v>
      </c>
      <c r="N163" s="11">
        <f t="shared" si="21"/>
        <v>178.49999999999997</v>
      </c>
      <c r="O163" s="11">
        <f t="shared" si="22"/>
        <v>31.999999999999964</v>
      </c>
      <c r="P163" s="11">
        <f t="shared" si="23"/>
        <v>18.600000000000012</v>
      </c>
    </row>
    <row r="164" spans="1:16">
      <c r="A164" s="11">
        <v>162</v>
      </c>
      <c r="B164" s="11">
        <v>169.87499999999997</v>
      </c>
      <c r="C164" s="11">
        <v>24.193750000000012</v>
      </c>
      <c r="D164" s="11">
        <v>-31.999999999999964</v>
      </c>
      <c r="E164" s="11">
        <v>178.49999999999997</v>
      </c>
      <c r="F164" s="11">
        <v>18.600000000000012</v>
      </c>
      <c r="G164" s="11">
        <v>-31.999999999999964</v>
      </c>
      <c r="J164" s="11">
        <v>162</v>
      </c>
      <c r="K164" s="11">
        <f t="shared" si="18"/>
        <v>169.87499999999997</v>
      </c>
      <c r="L164" s="11">
        <f t="shared" si="19"/>
        <v>31.999999999999964</v>
      </c>
      <c r="M164" s="11">
        <f t="shared" si="20"/>
        <v>24.193750000000012</v>
      </c>
      <c r="N164" s="11">
        <f t="shared" si="21"/>
        <v>178.49999999999997</v>
      </c>
      <c r="O164" s="11">
        <f t="shared" si="22"/>
        <v>31.999999999999964</v>
      </c>
      <c r="P164" s="11">
        <f t="shared" si="23"/>
        <v>18.600000000000012</v>
      </c>
    </row>
    <row r="165" spans="1:16">
      <c r="A165" s="11">
        <v>163</v>
      </c>
      <c r="B165" s="11">
        <v>169.87499999999997</v>
      </c>
      <c r="C165" s="11">
        <v>24.193750000000012</v>
      </c>
      <c r="D165" s="11">
        <v>-31.999999999999964</v>
      </c>
      <c r="E165" s="11">
        <v>161.24999999999997</v>
      </c>
      <c r="F165" s="11">
        <v>18.600000000000026</v>
      </c>
      <c r="G165" s="11">
        <v>-31.999999999999964</v>
      </c>
      <c r="J165" s="11">
        <v>163</v>
      </c>
      <c r="K165" s="11">
        <f t="shared" si="18"/>
        <v>169.87499999999997</v>
      </c>
      <c r="L165" s="11">
        <f t="shared" si="19"/>
        <v>31.999999999999964</v>
      </c>
      <c r="M165" s="11">
        <f t="shared" si="20"/>
        <v>24.193750000000012</v>
      </c>
      <c r="N165" s="11">
        <f t="shared" si="21"/>
        <v>161.24999999999997</v>
      </c>
      <c r="O165" s="11">
        <f t="shared" si="22"/>
        <v>31.999999999999964</v>
      </c>
      <c r="P165" s="11">
        <f t="shared" si="23"/>
        <v>18.600000000000026</v>
      </c>
    </row>
    <row r="166" spans="1:16">
      <c r="A166" s="11">
        <v>164</v>
      </c>
      <c r="B166" s="11">
        <v>221.62499999999997</v>
      </c>
      <c r="C166" s="11">
        <v>24.193750000000012</v>
      </c>
      <c r="D166" s="11">
        <v>-31.99999999999995</v>
      </c>
      <c r="E166" s="11">
        <v>230.25</v>
      </c>
      <c r="F166" s="11">
        <v>18.600000000000012</v>
      </c>
      <c r="G166" s="11">
        <v>-31.99999999999995</v>
      </c>
      <c r="J166" s="11">
        <v>164</v>
      </c>
      <c r="K166" s="11">
        <f t="shared" si="18"/>
        <v>221.62499999999997</v>
      </c>
      <c r="L166" s="11">
        <f t="shared" si="19"/>
        <v>31.99999999999995</v>
      </c>
      <c r="M166" s="11">
        <f t="shared" si="20"/>
        <v>24.193750000000012</v>
      </c>
      <c r="N166" s="11">
        <f t="shared" si="21"/>
        <v>230.25</v>
      </c>
      <c r="O166" s="11">
        <f t="shared" si="22"/>
        <v>31.99999999999995</v>
      </c>
      <c r="P166" s="11">
        <f t="shared" si="23"/>
        <v>18.600000000000012</v>
      </c>
    </row>
    <row r="167" spans="1:16">
      <c r="A167" s="11">
        <v>165</v>
      </c>
      <c r="B167" s="11">
        <v>221.62499999999997</v>
      </c>
      <c r="C167" s="11">
        <v>24.193750000000012</v>
      </c>
      <c r="D167" s="11">
        <v>-31.99999999999995</v>
      </c>
      <c r="E167" s="11">
        <v>212.99999999999997</v>
      </c>
      <c r="F167" s="11">
        <v>18.600000000000012</v>
      </c>
      <c r="G167" s="11">
        <v>-31.99999999999995</v>
      </c>
      <c r="J167" s="11">
        <v>165</v>
      </c>
      <c r="K167" s="11">
        <f t="shared" si="18"/>
        <v>221.62499999999997</v>
      </c>
      <c r="L167" s="11">
        <f t="shared" si="19"/>
        <v>31.99999999999995</v>
      </c>
      <c r="M167" s="11">
        <f t="shared" si="20"/>
        <v>24.193750000000012</v>
      </c>
      <c r="N167" s="11">
        <f t="shared" si="21"/>
        <v>212.99999999999997</v>
      </c>
      <c r="O167" s="11">
        <f t="shared" si="22"/>
        <v>31.99999999999995</v>
      </c>
      <c r="P167" s="11">
        <f t="shared" si="23"/>
        <v>18.600000000000012</v>
      </c>
    </row>
    <row r="168" spans="1:16">
      <c r="A168" s="11">
        <v>166</v>
      </c>
      <c r="B168" s="11">
        <v>204.37499999999997</v>
      </c>
      <c r="C168" s="11">
        <v>24.193750000000012</v>
      </c>
      <c r="D168" s="11">
        <v>-31.99999999999995</v>
      </c>
      <c r="E168" s="11">
        <v>212.99999999999997</v>
      </c>
      <c r="F168" s="11">
        <v>18.600000000000012</v>
      </c>
      <c r="G168" s="11">
        <v>-31.99999999999995</v>
      </c>
      <c r="J168" s="11">
        <v>166</v>
      </c>
      <c r="K168" s="11">
        <f t="shared" si="18"/>
        <v>204.37499999999997</v>
      </c>
      <c r="L168" s="11">
        <f t="shared" si="19"/>
        <v>31.99999999999995</v>
      </c>
      <c r="M168" s="11">
        <f t="shared" si="20"/>
        <v>24.193750000000012</v>
      </c>
      <c r="N168" s="11">
        <f t="shared" si="21"/>
        <v>212.99999999999997</v>
      </c>
      <c r="O168" s="11">
        <f t="shared" si="22"/>
        <v>31.99999999999995</v>
      </c>
      <c r="P168" s="11">
        <f t="shared" si="23"/>
        <v>18.600000000000012</v>
      </c>
    </row>
    <row r="169" spans="1:16">
      <c r="A169" s="11">
        <v>167</v>
      </c>
      <c r="B169" s="11">
        <v>204.37499999999997</v>
      </c>
      <c r="C169" s="11">
        <v>24.193750000000012</v>
      </c>
      <c r="D169" s="11">
        <v>-31.99999999999995</v>
      </c>
      <c r="E169" s="11">
        <v>195.74999999999997</v>
      </c>
      <c r="F169" s="11">
        <v>18.600000000000012</v>
      </c>
      <c r="G169" s="11">
        <v>-31.99999999999995</v>
      </c>
      <c r="J169" s="11">
        <v>167</v>
      </c>
      <c r="K169" s="11">
        <f t="shared" si="18"/>
        <v>204.37499999999997</v>
      </c>
      <c r="L169" s="11">
        <f t="shared" si="19"/>
        <v>31.99999999999995</v>
      </c>
      <c r="M169" s="11">
        <f t="shared" si="20"/>
        <v>24.193750000000012</v>
      </c>
      <c r="N169" s="11">
        <f t="shared" si="21"/>
        <v>195.74999999999997</v>
      </c>
      <c r="O169" s="11">
        <f t="shared" si="22"/>
        <v>31.99999999999995</v>
      </c>
      <c r="P169" s="11">
        <f t="shared" si="23"/>
        <v>18.600000000000012</v>
      </c>
    </row>
    <row r="170" spans="1:16">
      <c r="A170" s="11">
        <v>168</v>
      </c>
      <c r="B170" s="11">
        <v>238.875</v>
      </c>
      <c r="C170" s="11">
        <v>24.193750000000012</v>
      </c>
      <c r="D170" s="11">
        <v>-31.99999999999995</v>
      </c>
      <c r="E170" s="11">
        <v>230.25</v>
      </c>
      <c r="F170" s="11">
        <v>18.600000000000012</v>
      </c>
      <c r="G170" s="11">
        <v>-31.99999999999995</v>
      </c>
      <c r="J170" s="11">
        <v>168</v>
      </c>
      <c r="K170" s="11">
        <f t="shared" si="18"/>
        <v>238.875</v>
      </c>
      <c r="L170" s="11">
        <f t="shared" si="19"/>
        <v>31.99999999999995</v>
      </c>
      <c r="M170" s="11">
        <f t="shared" si="20"/>
        <v>24.193750000000012</v>
      </c>
      <c r="N170" s="11">
        <f t="shared" si="21"/>
        <v>230.25</v>
      </c>
      <c r="O170" s="11">
        <f t="shared" si="22"/>
        <v>31.99999999999995</v>
      </c>
      <c r="P170" s="11">
        <f t="shared" si="23"/>
        <v>18.600000000000012</v>
      </c>
    </row>
    <row r="171" spans="1:16">
      <c r="A171" s="11">
        <v>169</v>
      </c>
      <c r="B171" s="11">
        <v>14.625000000000004</v>
      </c>
      <c r="C171" s="11">
        <v>24.193750000000026</v>
      </c>
      <c r="D171" s="11">
        <v>0</v>
      </c>
      <c r="E171" s="11">
        <v>23.250000000000032</v>
      </c>
      <c r="F171" s="11">
        <v>18.600000000000026</v>
      </c>
      <c r="G171" s="11">
        <v>0</v>
      </c>
      <c r="J171" s="11">
        <v>169</v>
      </c>
      <c r="K171" s="11">
        <f t="shared" si="18"/>
        <v>14.625000000000004</v>
      </c>
      <c r="L171" s="11">
        <f t="shared" si="19"/>
        <v>0</v>
      </c>
      <c r="M171" s="11">
        <f t="shared" si="20"/>
        <v>24.193750000000026</v>
      </c>
      <c r="N171" s="11">
        <f t="shared" si="21"/>
        <v>23.250000000000032</v>
      </c>
      <c r="O171" s="11">
        <f t="shared" si="22"/>
        <v>0</v>
      </c>
      <c r="P171" s="11">
        <f t="shared" si="23"/>
        <v>18.600000000000026</v>
      </c>
    </row>
    <row r="172" spans="1:16">
      <c r="A172" s="11">
        <v>170</v>
      </c>
      <c r="B172" s="11">
        <v>49.125000000000028</v>
      </c>
      <c r="C172" s="11">
        <v>24.193750000000026</v>
      </c>
      <c r="D172" s="11">
        <v>0</v>
      </c>
      <c r="E172" s="11">
        <v>57.750000000000028</v>
      </c>
      <c r="F172" s="11">
        <v>18.600000000000026</v>
      </c>
      <c r="G172" s="11">
        <v>1.4210854715202004E-14</v>
      </c>
      <c r="J172" s="11">
        <v>170</v>
      </c>
      <c r="K172" s="11">
        <f t="shared" si="18"/>
        <v>49.125000000000028</v>
      </c>
      <c r="L172" s="11">
        <f t="shared" si="19"/>
        <v>0</v>
      </c>
      <c r="M172" s="11">
        <f t="shared" si="20"/>
        <v>24.193750000000026</v>
      </c>
      <c r="N172" s="11">
        <f t="shared" si="21"/>
        <v>57.750000000000028</v>
      </c>
      <c r="O172" s="11">
        <f t="shared" si="22"/>
        <v>-1.4210854715202004E-14</v>
      </c>
      <c r="P172" s="11">
        <f t="shared" si="23"/>
        <v>18.600000000000026</v>
      </c>
    </row>
    <row r="173" spans="1:16">
      <c r="A173" s="11">
        <v>171</v>
      </c>
      <c r="B173" s="11">
        <v>49.125000000000028</v>
      </c>
      <c r="C173" s="11">
        <v>24.193750000000026</v>
      </c>
      <c r="D173" s="11">
        <v>0</v>
      </c>
      <c r="E173" s="11">
        <v>40.500000000000028</v>
      </c>
      <c r="F173" s="11">
        <v>18.600000000000026</v>
      </c>
      <c r="G173" s="11">
        <v>0</v>
      </c>
      <c r="J173" s="11">
        <v>171</v>
      </c>
      <c r="K173" s="11">
        <f t="shared" si="18"/>
        <v>49.125000000000028</v>
      </c>
      <c r="L173" s="11">
        <f t="shared" si="19"/>
        <v>0</v>
      </c>
      <c r="M173" s="11">
        <f t="shared" si="20"/>
        <v>24.193750000000026</v>
      </c>
      <c r="N173" s="11">
        <f t="shared" si="21"/>
        <v>40.500000000000028</v>
      </c>
      <c r="O173" s="11">
        <f t="shared" si="22"/>
        <v>0</v>
      </c>
      <c r="P173" s="11">
        <f t="shared" si="23"/>
        <v>18.600000000000026</v>
      </c>
    </row>
    <row r="174" spans="1:16">
      <c r="A174" s="11">
        <v>172</v>
      </c>
      <c r="B174" s="11">
        <v>31.875000000000032</v>
      </c>
      <c r="C174" s="11">
        <v>24.193750000000026</v>
      </c>
      <c r="D174" s="11">
        <v>0</v>
      </c>
      <c r="E174" s="11">
        <v>40.500000000000028</v>
      </c>
      <c r="F174" s="11">
        <v>18.600000000000026</v>
      </c>
      <c r="G174" s="11">
        <v>0</v>
      </c>
      <c r="J174" s="11">
        <v>172</v>
      </c>
      <c r="K174" s="11">
        <f t="shared" si="18"/>
        <v>31.875000000000032</v>
      </c>
      <c r="L174" s="11">
        <f t="shared" si="19"/>
        <v>0</v>
      </c>
      <c r="M174" s="11">
        <f t="shared" si="20"/>
        <v>24.193750000000026</v>
      </c>
      <c r="N174" s="11">
        <f t="shared" si="21"/>
        <v>40.500000000000028</v>
      </c>
      <c r="O174" s="11">
        <f t="shared" si="22"/>
        <v>0</v>
      </c>
      <c r="P174" s="11">
        <f t="shared" si="23"/>
        <v>18.600000000000026</v>
      </c>
    </row>
    <row r="175" spans="1:16">
      <c r="A175" s="11">
        <v>173</v>
      </c>
      <c r="B175" s="11">
        <v>31.875000000000032</v>
      </c>
      <c r="C175" s="11">
        <v>24.193750000000026</v>
      </c>
      <c r="D175" s="11">
        <v>0</v>
      </c>
      <c r="E175" s="11">
        <v>23.250000000000032</v>
      </c>
      <c r="F175" s="11">
        <v>18.600000000000026</v>
      </c>
      <c r="G175" s="11">
        <v>0</v>
      </c>
      <c r="J175" s="11">
        <v>173</v>
      </c>
      <c r="K175" s="11">
        <f t="shared" si="18"/>
        <v>31.875000000000032</v>
      </c>
      <c r="L175" s="11">
        <f t="shared" si="19"/>
        <v>0</v>
      </c>
      <c r="M175" s="11">
        <f t="shared" si="20"/>
        <v>24.193750000000026</v>
      </c>
      <c r="N175" s="11">
        <f t="shared" si="21"/>
        <v>23.250000000000032</v>
      </c>
      <c r="O175" s="11">
        <f t="shared" si="22"/>
        <v>0</v>
      </c>
      <c r="P175" s="11">
        <f t="shared" si="23"/>
        <v>18.600000000000026</v>
      </c>
    </row>
    <row r="176" spans="1:16">
      <c r="A176" s="11">
        <v>174</v>
      </c>
      <c r="B176" s="11">
        <v>83.625000000000028</v>
      </c>
      <c r="C176" s="11">
        <v>24.193750000000012</v>
      </c>
      <c r="D176" s="11">
        <v>1.4210854715202004E-14</v>
      </c>
      <c r="E176" s="11">
        <v>92.250000000000014</v>
      </c>
      <c r="F176" s="11">
        <v>18.600000000000012</v>
      </c>
      <c r="G176" s="11">
        <v>1.4210854715202004E-14</v>
      </c>
      <c r="J176" s="11">
        <v>174</v>
      </c>
      <c r="K176" s="11">
        <f t="shared" si="18"/>
        <v>83.625000000000028</v>
      </c>
      <c r="L176" s="11">
        <f t="shared" si="19"/>
        <v>-1.4210854715202004E-14</v>
      </c>
      <c r="M176" s="11">
        <f t="shared" si="20"/>
        <v>24.193750000000012</v>
      </c>
      <c r="N176" s="11">
        <f t="shared" si="21"/>
        <v>92.250000000000014</v>
      </c>
      <c r="O176" s="11">
        <f t="shared" si="22"/>
        <v>-1.4210854715202004E-14</v>
      </c>
      <c r="P176" s="11">
        <f t="shared" si="23"/>
        <v>18.600000000000012</v>
      </c>
    </row>
    <row r="177" spans="1:16">
      <c r="A177" s="11">
        <v>175</v>
      </c>
      <c r="B177" s="11">
        <v>83.625000000000028</v>
      </c>
      <c r="C177" s="11">
        <v>24.193750000000012</v>
      </c>
      <c r="D177" s="11">
        <v>1.4210854715202004E-14</v>
      </c>
      <c r="E177" s="11">
        <v>75.000000000000028</v>
      </c>
      <c r="F177" s="11">
        <v>18.600000000000012</v>
      </c>
      <c r="G177" s="11">
        <v>1.4210854715202004E-14</v>
      </c>
      <c r="J177" s="11">
        <v>175</v>
      </c>
      <c r="K177" s="11">
        <f t="shared" si="18"/>
        <v>83.625000000000028</v>
      </c>
      <c r="L177" s="11">
        <f t="shared" si="19"/>
        <v>-1.4210854715202004E-14</v>
      </c>
      <c r="M177" s="11">
        <f t="shared" si="20"/>
        <v>24.193750000000012</v>
      </c>
      <c r="N177" s="11">
        <f t="shared" si="21"/>
        <v>75.000000000000028</v>
      </c>
      <c r="O177" s="11">
        <f t="shared" si="22"/>
        <v>-1.4210854715202004E-14</v>
      </c>
      <c r="P177" s="11">
        <f t="shared" si="23"/>
        <v>18.600000000000012</v>
      </c>
    </row>
    <row r="178" spans="1:16">
      <c r="A178" s="11">
        <v>176</v>
      </c>
      <c r="B178" s="11">
        <v>66.375000000000028</v>
      </c>
      <c r="C178" s="11">
        <v>24.193750000000026</v>
      </c>
      <c r="D178" s="11">
        <v>1.4210854715202004E-14</v>
      </c>
      <c r="E178" s="11">
        <v>75.000000000000028</v>
      </c>
      <c r="F178" s="11">
        <v>18.600000000000012</v>
      </c>
      <c r="G178" s="11">
        <v>1.4210854715202004E-14</v>
      </c>
      <c r="J178" s="11">
        <v>176</v>
      </c>
      <c r="K178" s="11">
        <f t="shared" si="18"/>
        <v>66.375000000000028</v>
      </c>
      <c r="L178" s="11">
        <f t="shared" si="19"/>
        <v>-1.4210854715202004E-14</v>
      </c>
      <c r="M178" s="11">
        <f t="shared" si="20"/>
        <v>24.193750000000026</v>
      </c>
      <c r="N178" s="11">
        <f t="shared" si="21"/>
        <v>75.000000000000028</v>
      </c>
      <c r="O178" s="11">
        <f t="shared" si="22"/>
        <v>-1.4210854715202004E-14</v>
      </c>
      <c r="P178" s="11">
        <f t="shared" si="23"/>
        <v>18.600000000000012</v>
      </c>
    </row>
    <row r="179" spans="1:16">
      <c r="A179" s="11">
        <v>177</v>
      </c>
      <c r="B179" s="11">
        <v>66.375000000000028</v>
      </c>
      <c r="C179" s="11">
        <v>24.193750000000026</v>
      </c>
      <c r="D179" s="11">
        <v>1.4210854715202004E-14</v>
      </c>
      <c r="E179" s="11">
        <v>57.750000000000028</v>
      </c>
      <c r="F179" s="11">
        <v>18.600000000000026</v>
      </c>
      <c r="G179" s="11">
        <v>1.4210854715202004E-14</v>
      </c>
      <c r="J179" s="11">
        <v>177</v>
      </c>
      <c r="K179" s="11">
        <f t="shared" si="18"/>
        <v>66.375000000000028</v>
      </c>
      <c r="L179" s="11">
        <f t="shared" si="19"/>
        <v>-1.4210854715202004E-14</v>
      </c>
      <c r="M179" s="11">
        <f t="shared" si="20"/>
        <v>24.193750000000026</v>
      </c>
      <c r="N179" s="11">
        <f t="shared" si="21"/>
        <v>57.750000000000028</v>
      </c>
      <c r="O179" s="11">
        <f t="shared" si="22"/>
        <v>-1.4210854715202004E-14</v>
      </c>
      <c r="P179" s="11">
        <f t="shared" si="23"/>
        <v>18.600000000000026</v>
      </c>
    </row>
    <row r="180" spans="1:16">
      <c r="A180" s="11">
        <v>178</v>
      </c>
      <c r="B180" s="11">
        <v>118.12500000000003</v>
      </c>
      <c r="C180" s="11">
        <v>24.193750000000012</v>
      </c>
      <c r="D180" s="11">
        <v>2.8421709430404007E-14</v>
      </c>
      <c r="E180" s="11">
        <v>126.75000000000003</v>
      </c>
      <c r="F180" s="11">
        <v>18.600000000000012</v>
      </c>
      <c r="G180" s="11">
        <v>2.8421709430404007E-14</v>
      </c>
      <c r="J180" s="11">
        <v>178</v>
      </c>
      <c r="K180" s="11">
        <f t="shared" si="18"/>
        <v>118.12500000000003</v>
      </c>
      <c r="L180" s="11">
        <f t="shared" si="19"/>
        <v>-2.8421709430404007E-14</v>
      </c>
      <c r="M180" s="11">
        <f t="shared" si="20"/>
        <v>24.193750000000012</v>
      </c>
      <c r="N180" s="11">
        <f t="shared" si="21"/>
        <v>126.75000000000003</v>
      </c>
      <c r="O180" s="11">
        <f t="shared" si="22"/>
        <v>-2.8421709430404007E-14</v>
      </c>
      <c r="P180" s="11">
        <f t="shared" si="23"/>
        <v>18.600000000000012</v>
      </c>
    </row>
    <row r="181" spans="1:16">
      <c r="A181" s="11">
        <v>179</v>
      </c>
      <c r="B181" s="11">
        <v>118.12500000000003</v>
      </c>
      <c r="C181" s="11">
        <v>24.193750000000012</v>
      </c>
      <c r="D181" s="11">
        <v>2.8421709430404007E-14</v>
      </c>
      <c r="E181" s="11">
        <v>109.50000000000001</v>
      </c>
      <c r="F181" s="11">
        <v>18.600000000000012</v>
      </c>
      <c r="G181" s="11">
        <v>1.4210854715202004E-14</v>
      </c>
      <c r="J181" s="11">
        <v>179</v>
      </c>
      <c r="K181" s="11">
        <f t="shared" si="18"/>
        <v>118.12500000000003</v>
      </c>
      <c r="L181" s="11">
        <f t="shared" si="19"/>
        <v>-2.8421709430404007E-14</v>
      </c>
      <c r="M181" s="11">
        <f t="shared" si="20"/>
        <v>24.193750000000012</v>
      </c>
      <c r="N181" s="11">
        <f t="shared" si="21"/>
        <v>109.50000000000001</v>
      </c>
      <c r="O181" s="11">
        <f t="shared" si="22"/>
        <v>-1.4210854715202004E-14</v>
      </c>
      <c r="P181" s="11">
        <f t="shared" si="23"/>
        <v>18.600000000000012</v>
      </c>
    </row>
    <row r="182" spans="1:16">
      <c r="A182" s="11">
        <v>180</v>
      </c>
      <c r="B182" s="11">
        <v>100.87500000000001</v>
      </c>
      <c r="C182" s="11">
        <v>24.193750000000012</v>
      </c>
      <c r="D182" s="11">
        <v>1.4210854715202004E-14</v>
      </c>
      <c r="E182" s="11">
        <v>109.50000000000001</v>
      </c>
      <c r="F182" s="11">
        <v>18.600000000000012</v>
      </c>
      <c r="G182" s="11">
        <v>1.4210854715202004E-14</v>
      </c>
      <c r="J182" s="11">
        <v>180</v>
      </c>
      <c r="K182" s="11">
        <f t="shared" si="18"/>
        <v>100.87500000000001</v>
      </c>
      <c r="L182" s="11">
        <f t="shared" si="19"/>
        <v>-1.4210854715202004E-14</v>
      </c>
      <c r="M182" s="11">
        <f t="shared" si="20"/>
        <v>24.193750000000012</v>
      </c>
      <c r="N182" s="11">
        <f t="shared" si="21"/>
        <v>109.50000000000001</v>
      </c>
      <c r="O182" s="11">
        <f t="shared" si="22"/>
        <v>-1.4210854715202004E-14</v>
      </c>
      <c r="P182" s="11">
        <f t="shared" si="23"/>
        <v>18.600000000000012</v>
      </c>
    </row>
    <row r="183" spans="1:16">
      <c r="A183" s="11">
        <v>181</v>
      </c>
      <c r="B183" s="11">
        <v>100.87500000000001</v>
      </c>
      <c r="C183" s="11">
        <v>24.193750000000012</v>
      </c>
      <c r="D183" s="11">
        <v>1.4210854715202004E-14</v>
      </c>
      <c r="E183" s="11">
        <v>92.250000000000014</v>
      </c>
      <c r="F183" s="11">
        <v>18.600000000000012</v>
      </c>
      <c r="G183" s="11">
        <v>1.4210854715202004E-14</v>
      </c>
      <c r="J183" s="11">
        <v>181</v>
      </c>
      <c r="K183" s="11">
        <f t="shared" si="18"/>
        <v>100.87500000000001</v>
      </c>
      <c r="L183" s="11">
        <f t="shared" si="19"/>
        <v>-1.4210854715202004E-14</v>
      </c>
      <c r="M183" s="11">
        <f t="shared" si="20"/>
        <v>24.193750000000012</v>
      </c>
      <c r="N183" s="11">
        <f t="shared" si="21"/>
        <v>92.250000000000014</v>
      </c>
      <c r="O183" s="11">
        <f t="shared" si="22"/>
        <v>-1.4210854715202004E-14</v>
      </c>
      <c r="P183" s="11">
        <f t="shared" si="23"/>
        <v>18.600000000000012</v>
      </c>
    </row>
    <row r="184" spans="1:16">
      <c r="A184" s="11">
        <v>182</v>
      </c>
      <c r="B184" s="11">
        <v>152.62500000000003</v>
      </c>
      <c r="C184" s="11">
        <v>24.193750000000012</v>
      </c>
      <c r="D184" s="11">
        <v>2.8421709430404007E-14</v>
      </c>
      <c r="E184" s="11">
        <v>161.25000000000003</v>
      </c>
      <c r="F184" s="11">
        <v>18.600000000000012</v>
      </c>
      <c r="G184" s="11">
        <v>2.8421709430404007E-14</v>
      </c>
      <c r="J184" s="11">
        <v>182</v>
      </c>
      <c r="K184" s="11">
        <f t="shared" si="18"/>
        <v>152.62500000000003</v>
      </c>
      <c r="L184" s="11">
        <f t="shared" si="19"/>
        <v>-2.8421709430404007E-14</v>
      </c>
      <c r="M184" s="11">
        <f t="shared" si="20"/>
        <v>24.193750000000012</v>
      </c>
      <c r="N184" s="11">
        <f t="shared" si="21"/>
        <v>161.25000000000003</v>
      </c>
      <c r="O184" s="11">
        <f t="shared" si="22"/>
        <v>-2.8421709430404007E-14</v>
      </c>
      <c r="P184" s="11">
        <f t="shared" si="23"/>
        <v>18.600000000000012</v>
      </c>
    </row>
    <row r="185" spans="1:16">
      <c r="A185" s="11">
        <v>183</v>
      </c>
      <c r="B185" s="11">
        <v>152.62500000000003</v>
      </c>
      <c r="C185" s="11">
        <v>24.193750000000012</v>
      </c>
      <c r="D185" s="11">
        <v>2.8421709430404007E-14</v>
      </c>
      <c r="E185" s="11">
        <v>144.00000000000003</v>
      </c>
      <c r="F185" s="11">
        <v>18.600000000000012</v>
      </c>
      <c r="G185" s="11">
        <v>2.8421709430404007E-14</v>
      </c>
      <c r="J185" s="11">
        <v>183</v>
      </c>
      <c r="K185" s="11">
        <f t="shared" si="18"/>
        <v>152.62500000000003</v>
      </c>
      <c r="L185" s="11">
        <f t="shared" si="19"/>
        <v>-2.8421709430404007E-14</v>
      </c>
      <c r="M185" s="11">
        <f t="shared" si="20"/>
        <v>24.193750000000012</v>
      </c>
      <c r="N185" s="11">
        <f t="shared" si="21"/>
        <v>144.00000000000003</v>
      </c>
      <c r="O185" s="11">
        <f t="shared" si="22"/>
        <v>-2.8421709430404007E-14</v>
      </c>
      <c r="P185" s="11">
        <f t="shared" si="23"/>
        <v>18.600000000000012</v>
      </c>
    </row>
    <row r="186" spans="1:16">
      <c r="A186" s="11">
        <v>184</v>
      </c>
      <c r="B186" s="11">
        <v>135.37500000000003</v>
      </c>
      <c r="C186" s="11">
        <v>24.193750000000012</v>
      </c>
      <c r="D186" s="11">
        <v>2.8421709430404007E-14</v>
      </c>
      <c r="E186" s="11">
        <v>144.00000000000003</v>
      </c>
      <c r="F186" s="11">
        <v>18.600000000000012</v>
      </c>
      <c r="G186" s="11">
        <v>2.8421709430404007E-14</v>
      </c>
      <c r="J186" s="11">
        <v>184</v>
      </c>
      <c r="K186" s="11">
        <f t="shared" si="18"/>
        <v>135.37500000000003</v>
      </c>
      <c r="L186" s="11">
        <f t="shared" si="19"/>
        <v>-2.8421709430404007E-14</v>
      </c>
      <c r="M186" s="11">
        <f t="shared" si="20"/>
        <v>24.193750000000012</v>
      </c>
      <c r="N186" s="11">
        <f t="shared" si="21"/>
        <v>144.00000000000003</v>
      </c>
      <c r="O186" s="11">
        <f t="shared" si="22"/>
        <v>-2.8421709430404007E-14</v>
      </c>
      <c r="P186" s="11">
        <f t="shared" si="23"/>
        <v>18.600000000000012</v>
      </c>
    </row>
    <row r="187" spans="1:16">
      <c r="A187" s="11">
        <v>185</v>
      </c>
      <c r="B187" s="11">
        <v>135.37500000000003</v>
      </c>
      <c r="C187" s="11">
        <v>24.193750000000012</v>
      </c>
      <c r="D187" s="11">
        <v>2.8421709430404007E-14</v>
      </c>
      <c r="E187" s="11">
        <v>126.75000000000003</v>
      </c>
      <c r="F187" s="11">
        <v>18.600000000000012</v>
      </c>
      <c r="G187" s="11">
        <v>2.8421709430404007E-14</v>
      </c>
      <c r="J187" s="11">
        <v>185</v>
      </c>
      <c r="K187" s="11">
        <f t="shared" si="18"/>
        <v>135.37500000000003</v>
      </c>
      <c r="L187" s="11">
        <f t="shared" si="19"/>
        <v>-2.8421709430404007E-14</v>
      </c>
      <c r="M187" s="11">
        <f t="shared" si="20"/>
        <v>24.193750000000012</v>
      </c>
      <c r="N187" s="11">
        <f t="shared" si="21"/>
        <v>126.75000000000003</v>
      </c>
      <c r="O187" s="11">
        <f t="shared" si="22"/>
        <v>-2.8421709430404007E-14</v>
      </c>
      <c r="P187" s="11">
        <f t="shared" si="23"/>
        <v>18.600000000000012</v>
      </c>
    </row>
    <row r="188" spans="1:16">
      <c r="A188" s="11">
        <v>186</v>
      </c>
      <c r="B188" s="11">
        <v>187.12500000000003</v>
      </c>
      <c r="C188" s="11">
        <v>24.193749999999998</v>
      </c>
      <c r="D188" s="11">
        <v>4.2632564145606011E-14</v>
      </c>
      <c r="E188" s="11">
        <v>195.75000000000003</v>
      </c>
      <c r="F188" s="11">
        <v>18.599999999999998</v>
      </c>
      <c r="G188" s="11">
        <v>4.2632564145606011E-14</v>
      </c>
      <c r="J188" s="11">
        <v>186</v>
      </c>
      <c r="K188" s="11">
        <f t="shared" si="18"/>
        <v>187.12500000000003</v>
      </c>
      <c r="L188" s="11">
        <f t="shared" si="19"/>
        <v>-4.2632564145606011E-14</v>
      </c>
      <c r="M188" s="11">
        <f t="shared" si="20"/>
        <v>24.193749999999998</v>
      </c>
      <c r="N188" s="11">
        <f t="shared" si="21"/>
        <v>195.75000000000003</v>
      </c>
      <c r="O188" s="11">
        <f t="shared" si="22"/>
        <v>-4.2632564145606011E-14</v>
      </c>
      <c r="P188" s="11">
        <f t="shared" si="23"/>
        <v>18.599999999999998</v>
      </c>
    </row>
    <row r="189" spans="1:16">
      <c r="A189" s="11">
        <v>187</v>
      </c>
      <c r="B189" s="11">
        <v>187.12500000000003</v>
      </c>
      <c r="C189" s="11">
        <v>24.193749999999998</v>
      </c>
      <c r="D189" s="11">
        <v>4.2632564145606011E-14</v>
      </c>
      <c r="E189" s="11">
        <v>178.50000000000003</v>
      </c>
      <c r="F189" s="11">
        <v>18.599999999999998</v>
      </c>
      <c r="G189" s="11">
        <v>2.8421709430404007E-14</v>
      </c>
      <c r="J189" s="11">
        <v>187</v>
      </c>
      <c r="K189" s="11">
        <f t="shared" si="18"/>
        <v>187.12500000000003</v>
      </c>
      <c r="L189" s="11">
        <f t="shared" si="19"/>
        <v>-4.2632564145606011E-14</v>
      </c>
      <c r="M189" s="11">
        <f t="shared" si="20"/>
        <v>24.193749999999998</v>
      </c>
      <c r="N189" s="11">
        <f t="shared" si="21"/>
        <v>178.50000000000003</v>
      </c>
      <c r="O189" s="11">
        <f t="shared" si="22"/>
        <v>-2.8421709430404007E-14</v>
      </c>
      <c r="P189" s="11">
        <f t="shared" si="23"/>
        <v>18.599999999999998</v>
      </c>
    </row>
    <row r="190" spans="1:16">
      <c r="A190" s="11">
        <v>188</v>
      </c>
      <c r="B190" s="11">
        <v>169.87500000000003</v>
      </c>
      <c r="C190" s="11">
        <v>24.193749999999998</v>
      </c>
      <c r="D190" s="11">
        <v>2.8421709430404007E-14</v>
      </c>
      <c r="E190" s="11">
        <v>178.50000000000003</v>
      </c>
      <c r="F190" s="11">
        <v>18.599999999999998</v>
      </c>
      <c r="G190" s="11">
        <v>2.8421709430404007E-14</v>
      </c>
      <c r="J190" s="11">
        <v>188</v>
      </c>
      <c r="K190" s="11">
        <f t="shared" si="18"/>
        <v>169.87500000000003</v>
      </c>
      <c r="L190" s="11">
        <f t="shared" si="19"/>
        <v>-2.8421709430404007E-14</v>
      </c>
      <c r="M190" s="11">
        <f t="shared" si="20"/>
        <v>24.193749999999998</v>
      </c>
      <c r="N190" s="11">
        <f t="shared" si="21"/>
        <v>178.50000000000003</v>
      </c>
      <c r="O190" s="11">
        <f t="shared" si="22"/>
        <v>-2.8421709430404007E-14</v>
      </c>
      <c r="P190" s="11">
        <f t="shared" si="23"/>
        <v>18.599999999999998</v>
      </c>
    </row>
    <row r="191" spans="1:16">
      <c r="A191" s="11">
        <v>189</v>
      </c>
      <c r="B191" s="11">
        <v>169.87500000000003</v>
      </c>
      <c r="C191" s="11">
        <v>24.193749999999998</v>
      </c>
      <c r="D191" s="11">
        <v>2.8421709430404007E-14</v>
      </c>
      <c r="E191" s="11">
        <v>161.25000000000003</v>
      </c>
      <c r="F191" s="11">
        <v>18.600000000000012</v>
      </c>
      <c r="G191" s="11">
        <v>2.8421709430404007E-14</v>
      </c>
      <c r="J191" s="11">
        <v>189</v>
      </c>
      <c r="K191" s="11">
        <f t="shared" si="18"/>
        <v>169.87500000000003</v>
      </c>
      <c r="L191" s="11">
        <f t="shared" si="19"/>
        <v>-2.8421709430404007E-14</v>
      </c>
      <c r="M191" s="11">
        <f t="shared" si="20"/>
        <v>24.193749999999998</v>
      </c>
      <c r="N191" s="11">
        <f t="shared" si="21"/>
        <v>161.25000000000003</v>
      </c>
      <c r="O191" s="11">
        <f t="shared" si="22"/>
        <v>-2.8421709430404007E-14</v>
      </c>
      <c r="P191" s="11">
        <f t="shared" si="23"/>
        <v>18.600000000000012</v>
      </c>
    </row>
    <row r="192" spans="1:16">
      <c r="A192" s="11">
        <v>190</v>
      </c>
      <c r="B192" s="11">
        <v>221.62500000000003</v>
      </c>
      <c r="C192" s="11">
        <v>24.193749999999998</v>
      </c>
      <c r="D192" s="11">
        <v>4.2632564145606011E-14</v>
      </c>
      <c r="E192" s="11">
        <v>230.25000000000006</v>
      </c>
      <c r="F192" s="11">
        <v>18.599999999999998</v>
      </c>
      <c r="G192" s="11">
        <v>4.2632564145606011E-14</v>
      </c>
      <c r="J192" s="11">
        <v>190</v>
      </c>
      <c r="K192" s="11">
        <f t="shared" si="18"/>
        <v>221.62500000000003</v>
      </c>
      <c r="L192" s="11">
        <f t="shared" si="19"/>
        <v>-4.2632564145606011E-14</v>
      </c>
      <c r="M192" s="11">
        <f t="shared" si="20"/>
        <v>24.193749999999998</v>
      </c>
      <c r="N192" s="11">
        <f t="shared" si="21"/>
        <v>230.25000000000006</v>
      </c>
      <c r="O192" s="11">
        <f t="shared" si="22"/>
        <v>-4.2632564145606011E-14</v>
      </c>
      <c r="P192" s="11">
        <f t="shared" si="23"/>
        <v>18.599999999999998</v>
      </c>
    </row>
    <row r="193" spans="1:16">
      <c r="A193" s="11">
        <v>191</v>
      </c>
      <c r="B193" s="11">
        <v>221.62500000000003</v>
      </c>
      <c r="C193" s="11">
        <v>24.193749999999998</v>
      </c>
      <c r="D193" s="11">
        <v>4.2632564145606011E-14</v>
      </c>
      <c r="E193" s="11">
        <v>213.00000000000003</v>
      </c>
      <c r="F193" s="11">
        <v>18.599999999999998</v>
      </c>
      <c r="G193" s="11">
        <v>4.2632564145606011E-14</v>
      </c>
      <c r="J193" s="11">
        <v>191</v>
      </c>
      <c r="K193" s="11">
        <f t="shared" si="18"/>
        <v>221.62500000000003</v>
      </c>
      <c r="L193" s="11">
        <f t="shared" si="19"/>
        <v>-4.2632564145606011E-14</v>
      </c>
      <c r="M193" s="11">
        <f t="shared" si="20"/>
        <v>24.193749999999998</v>
      </c>
      <c r="N193" s="11">
        <f t="shared" si="21"/>
        <v>213.00000000000003</v>
      </c>
      <c r="O193" s="11">
        <f t="shared" si="22"/>
        <v>-4.2632564145606011E-14</v>
      </c>
      <c r="P193" s="11">
        <f t="shared" si="23"/>
        <v>18.599999999999998</v>
      </c>
    </row>
    <row r="194" spans="1:16">
      <c r="A194" s="11">
        <v>192</v>
      </c>
      <c r="B194" s="11">
        <v>204.37500000000003</v>
      </c>
      <c r="C194" s="11">
        <v>24.193749999999998</v>
      </c>
      <c r="D194" s="11">
        <v>4.2632564145606011E-14</v>
      </c>
      <c r="E194" s="11">
        <v>213.00000000000003</v>
      </c>
      <c r="F194" s="11">
        <v>18.599999999999998</v>
      </c>
      <c r="G194" s="11">
        <v>4.2632564145606011E-14</v>
      </c>
      <c r="J194" s="11">
        <v>192</v>
      </c>
      <c r="K194" s="11">
        <f t="shared" si="18"/>
        <v>204.37500000000003</v>
      </c>
      <c r="L194" s="11">
        <f t="shared" si="19"/>
        <v>-4.2632564145606011E-14</v>
      </c>
      <c r="M194" s="11">
        <f t="shared" si="20"/>
        <v>24.193749999999998</v>
      </c>
      <c r="N194" s="11">
        <f t="shared" si="21"/>
        <v>213.00000000000003</v>
      </c>
      <c r="O194" s="11">
        <f t="shared" si="22"/>
        <v>-4.2632564145606011E-14</v>
      </c>
      <c r="P194" s="11">
        <f t="shared" si="23"/>
        <v>18.599999999999998</v>
      </c>
    </row>
    <row r="195" spans="1:16">
      <c r="A195" s="11">
        <v>193</v>
      </c>
      <c r="B195" s="11">
        <v>204.37500000000003</v>
      </c>
      <c r="C195" s="11">
        <v>24.193749999999998</v>
      </c>
      <c r="D195" s="11">
        <v>4.2632564145606011E-14</v>
      </c>
      <c r="E195" s="11">
        <v>195.75000000000003</v>
      </c>
      <c r="F195" s="11">
        <v>18.599999999999998</v>
      </c>
      <c r="G195" s="11">
        <v>4.2632564145606011E-14</v>
      </c>
      <c r="J195" s="11">
        <v>193</v>
      </c>
      <c r="K195" s="11">
        <f t="shared" si="18"/>
        <v>204.37500000000003</v>
      </c>
      <c r="L195" s="11">
        <f t="shared" si="19"/>
        <v>-4.2632564145606011E-14</v>
      </c>
      <c r="M195" s="11">
        <f t="shared" si="20"/>
        <v>24.193749999999998</v>
      </c>
      <c r="N195" s="11">
        <f t="shared" si="21"/>
        <v>195.75000000000003</v>
      </c>
      <c r="O195" s="11">
        <f t="shared" si="22"/>
        <v>-4.2632564145606011E-14</v>
      </c>
      <c r="P195" s="11">
        <f t="shared" si="23"/>
        <v>18.599999999999998</v>
      </c>
    </row>
    <row r="196" spans="1:16">
      <c r="A196" s="11">
        <v>194</v>
      </c>
      <c r="B196" s="11">
        <v>238.87500000000006</v>
      </c>
      <c r="C196" s="11">
        <v>24.193749999999998</v>
      </c>
      <c r="D196" s="11">
        <v>4.2632564145606011E-14</v>
      </c>
      <c r="E196" s="11">
        <v>230.25000000000006</v>
      </c>
      <c r="F196" s="11">
        <v>18.599999999999998</v>
      </c>
      <c r="G196" s="11">
        <v>4.2632564145606011E-14</v>
      </c>
      <c r="J196" s="11">
        <v>194</v>
      </c>
      <c r="K196" s="11">
        <f t="shared" ref="K196:K259" si="24">$Y$11*B196+$Z$11*C196+$AA$11*D196</f>
        <v>238.87500000000006</v>
      </c>
      <c r="L196" s="11">
        <f t="shared" ref="L196:L259" si="25">$Y$12*B196+$Z$12*C196+$AA$12*D196</f>
        <v>-4.2632564145606011E-14</v>
      </c>
      <c r="M196" s="11">
        <f t="shared" ref="M196:M259" si="26">$Y$13*B196+$Z$13*C196+$AA$13*D196</f>
        <v>24.193749999999998</v>
      </c>
      <c r="N196" s="11">
        <f t="shared" ref="N196:N259" si="27">$Y$11*E196+$Z$11*F196+$AA$11*G196</f>
        <v>230.25000000000006</v>
      </c>
      <c r="O196" s="11">
        <f t="shared" ref="O196:O259" si="28">$Y$12*E196+$Z$12*F196+$AA$12*G196</f>
        <v>-4.2632564145606011E-14</v>
      </c>
      <c r="P196" s="11">
        <f t="shared" ref="P196:P259" si="29">$Y$13*E196+$Z$13*F196+$AA$13*G196</f>
        <v>18.599999999999998</v>
      </c>
    </row>
    <row r="197" spans="1:16">
      <c r="A197" s="11">
        <v>195</v>
      </c>
      <c r="B197" s="11">
        <v>5.9999999999999432</v>
      </c>
      <c r="C197" s="11">
        <v>29.787500000000041</v>
      </c>
      <c r="D197" s="11">
        <v>-31.999999999999993</v>
      </c>
      <c r="E197" s="11">
        <v>40.499999999999972</v>
      </c>
      <c r="F197" s="11">
        <v>29.787500000000041</v>
      </c>
      <c r="G197" s="11">
        <v>-31.999999999999993</v>
      </c>
      <c r="J197" s="11">
        <v>195</v>
      </c>
      <c r="K197" s="11">
        <f t="shared" si="24"/>
        <v>5.9999999999999432</v>
      </c>
      <c r="L197" s="11">
        <f t="shared" si="25"/>
        <v>31.999999999999993</v>
      </c>
      <c r="M197" s="11">
        <f t="shared" si="26"/>
        <v>29.787500000000041</v>
      </c>
      <c r="N197" s="11">
        <f t="shared" si="27"/>
        <v>40.499999999999972</v>
      </c>
      <c r="O197" s="11">
        <f t="shared" si="28"/>
        <v>31.999999999999993</v>
      </c>
      <c r="P197" s="11">
        <f t="shared" si="29"/>
        <v>29.787500000000041</v>
      </c>
    </row>
    <row r="198" spans="1:16">
      <c r="A198" s="11">
        <v>196</v>
      </c>
      <c r="B198" s="11">
        <v>40.499999999999972</v>
      </c>
      <c r="C198" s="11">
        <v>29.787500000000041</v>
      </c>
      <c r="D198" s="11">
        <v>-31.999999999999993</v>
      </c>
      <c r="E198" s="11">
        <v>74.999999999999972</v>
      </c>
      <c r="F198" s="11">
        <v>29.787500000000026</v>
      </c>
      <c r="G198" s="11">
        <v>-31.999999999999979</v>
      </c>
      <c r="J198" s="11">
        <v>196</v>
      </c>
      <c r="K198" s="11">
        <f t="shared" si="24"/>
        <v>40.499999999999972</v>
      </c>
      <c r="L198" s="11">
        <f t="shared" si="25"/>
        <v>31.999999999999993</v>
      </c>
      <c r="M198" s="11">
        <f t="shared" si="26"/>
        <v>29.787500000000041</v>
      </c>
      <c r="N198" s="11">
        <f t="shared" si="27"/>
        <v>74.999999999999972</v>
      </c>
      <c r="O198" s="11">
        <f t="shared" si="28"/>
        <v>31.999999999999979</v>
      </c>
      <c r="P198" s="11">
        <f t="shared" si="29"/>
        <v>29.787500000000026</v>
      </c>
    </row>
    <row r="199" spans="1:16">
      <c r="A199" s="11">
        <v>197</v>
      </c>
      <c r="B199" s="11">
        <v>74.999999999999972</v>
      </c>
      <c r="C199" s="11">
        <v>29.787500000000026</v>
      </c>
      <c r="D199" s="11">
        <v>-31.999999999999979</v>
      </c>
      <c r="E199" s="11">
        <v>109.49999999999994</v>
      </c>
      <c r="F199" s="11">
        <v>29.787500000000026</v>
      </c>
      <c r="G199" s="11">
        <v>-31.999999999999979</v>
      </c>
      <c r="J199" s="11">
        <v>197</v>
      </c>
      <c r="K199" s="11">
        <f t="shared" si="24"/>
        <v>74.999999999999972</v>
      </c>
      <c r="L199" s="11">
        <f t="shared" si="25"/>
        <v>31.999999999999979</v>
      </c>
      <c r="M199" s="11">
        <f t="shared" si="26"/>
        <v>29.787500000000026</v>
      </c>
      <c r="N199" s="11">
        <f t="shared" si="27"/>
        <v>109.49999999999994</v>
      </c>
      <c r="O199" s="11">
        <f t="shared" si="28"/>
        <v>31.999999999999979</v>
      </c>
      <c r="P199" s="11">
        <f t="shared" si="29"/>
        <v>29.787500000000026</v>
      </c>
    </row>
    <row r="200" spans="1:16">
      <c r="A200" s="11">
        <v>198</v>
      </c>
      <c r="B200" s="11">
        <v>109.49999999999994</v>
      </c>
      <c r="C200" s="11">
        <v>29.787500000000026</v>
      </c>
      <c r="D200" s="11">
        <v>-31.999999999999979</v>
      </c>
      <c r="E200" s="11">
        <v>143.99999999999997</v>
      </c>
      <c r="F200" s="11">
        <v>29.787500000000026</v>
      </c>
      <c r="G200" s="11">
        <v>-31.999999999999964</v>
      </c>
      <c r="J200" s="11">
        <v>198</v>
      </c>
      <c r="K200" s="11">
        <f t="shared" si="24"/>
        <v>109.49999999999994</v>
      </c>
      <c r="L200" s="11">
        <f t="shared" si="25"/>
        <v>31.999999999999979</v>
      </c>
      <c r="M200" s="11">
        <f t="shared" si="26"/>
        <v>29.787500000000026</v>
      </c>
      <c r="N200" s="11">
        <f t="shared" si="27"/>
        <v>143.99999999999997</v>
      </c>
      <c r="O200" s="11">
        <f t="shared" si="28"/>
        <v>31.999999999999964</v>
      </c>
      <c r="P200" s="11">
        <f t="shared" si="29"/>
        <v>29.787500000000026</v>
      </c>
    </row>
    <row r="201" spans="1:16">
      <c r="A201" s="11">
        <v>199</v>
      </c>
      <c r="B201" s="11">
        <v>143.99999999999997</v>
      </c>
      <c r="C201" s="11">
        <v>29.787500000000026</v>
      </c>
      <c r="D201" s="11">
        <v>-31.999999999999964</v>
      </c>
      <c r="E201" s="11">
        <v>178.49999999999997</v>
      </c>
      <c r="F201" s="11">
        <v>29.787500000000012</v>
      </c>
      <c r="G201" s="11">
        <v>-31.999999999999964</v>
      </c>
      <c r="J201" s="11">
        <v>199</v>
      </c>
      <c r="K201" s="11">
        <f t="shared" si="24"/>
        <v>143.99999999999997</v>
      </c>
      <c r="L201" s="11">
        <f t="shared" si="25"/>
        <v>31.999999999999964</v>
      </c>
      <c r="M201" s="11">
        <f t="shared" si="26"/>
        <v>29.787500000000026</v>
      </c>
      <c r="N201" s="11">
        <f t="shared" si="27"/>
        <v>178.49999999999997</v>
      </c>
      <c r="O201" s="11">
        <f t="shared" si="28"/>
        <v>31.999999999999964</v>
      </c>
      <c r="P201" s="11">
        <f t="shared" si="29"/>
        <v>29.787500000000012</v>
      </c>
    </row>
    <row r="202" spans="1:16">
      <c r="A202" s="11">
        <v>200</v>
      </c>
      <c r="B202" s="11">
        <v>178.49999999999997</v>
      </c>
      <c r="C202" s="11">
        <v>29.787500000000012</v>
      </c>
      <c r="D202" s="11">
        <v>-31.999999999999964</v>
      </c>
      <c r="E202" s="11">
        <v>212.99999999999997</v>
      </c>
      <c r="F202" s="11">
        <v>29.787500000000012</v>
      </c>
      <c r="G202" s="11">
        <v>-31.99999999999995</v>
      </c>
      <c r="J202" s="11">
        <v>200</v>
      </c>
      <c r="K202" s="11">
        <f t="shared" si="24"/>
        <v>178.49999999999997</v>
      </c>
      <c r="L202" s="11">
        <f t="shared" si="25"/>
        <v>31.999999999999964</v>
      </c>
      <c r="M202" s="11">
        <f t="shared" si="26"/>
        <v>29.787500000000012</v>
      </c>
      <c r="N202" s="11">
        <f t="shared" si="27"/>
        <v>212.99999999999997</v>
      </c>
      <c r="O202" s="11">
        <f t="shared" si="28"/>
        <v>31.99999999999995</v>
      </c>
      <c r="P202" s="11">
        <f t="shared" si="29"/>
        <v>29.787500000000012</v>
      </c>
    </row>
    <row r="203" spans="1:16">
      <c r="A203" s="11">
        <v>201</v>
      </c>
      <c r="B203" s="11">
        <v>212.99999999999997</v>
      </c>
      <c r="C203" s="11">
        <v>29.787500000000012</v>
      </c>
      <c r="D203" s="11">
        <v>-31.99999999999995</v>
      </c>
      <c r="E203" s="11">
        <v>247.5</v>
      </c>
      <c r="F203" s="11">
        <v>29.787500000000012</v>
      </c>
      <c r="G203" s="11">
        <v>-31.999999999999936</v>
      </c>
      <c r="J203" s="11">
        <v>201</v>
      </c>
      <c r="K203" s="11">
        <f t="shared" si="24"/>
        <v>212.99999999999997</v>
      </c>
      <c r="L203" s="11">
        <f t="shared" si="25"/>
        <v>31.99999999999995</v>
      </c>
      <c r="M203" s="11">
        <f t="shared" si="26"/>
        <v>29.787500000000012</v>
      </c>
      <c r="N203" s="11">
        <f t="shared" si="27"/>
        <v>247.5</v>
      </c>
      <c r="O203" s="11">
        <f t="shared" si="28"/>
        <v>31.999999999999936</v>
      </c>
      <c r="P203" s="11">
        <f t="shared" si="29"/>
        <v>29.787500000000012</v>
      </c>
    </row>
    <row r="204" spans="1:16">
      <c r="A204" s="11">
        <v>202</v>
      </c>
      <c r="B204" s="11">
        <v>6.0000000000000036</v>
      </c>
      <c r="C204" s="11">
        <v>29.787500000000026</v>
      </c>
      <c r="D204" s="11">
        <v>0</v>
      </c>
      <c r="E204" s="11">
        <v>40.500000000000028</v>
      </c>
      <c r="F204" s="11">
        <v>29.787500000000026</v>
      </c>
      <c r="G204" s="11">
        <v>0</v>
      </c>
      <c r="J204" s="11">
        <v>202</v>
      </c>
      <c r="K204" s="11">
        <f t="shared" si="24"/>
        <v>6.0000000000000036</v>
      </c>
      <c r="L204" s="11">
        <f t="shared" si="25"/>
        <v>0</v>
      </c>
      <c r="M204" s="11">
        <f t="shared" si="26"/>
        <v>29.787500000000026</v>
      </c>
      <c r="N204" s="11">
        <f t="shared" si="27"/>
        <v>40.500000000000028</v>
      </c>
      <c r="O204" s="11">
        <f t="shared" si="28"/>
        <v>0</v>
      </c>
      <c r="P204" s="11">
        <f t="shared" si="29"/>
        <v>29.787500000000026</v>
      </c>
    </row>
    <row r="205" spans="1:16">
      <c r="A205" s="11">
        <v>203</v>
      </c>
      <c r="B205" s="11">
        <v>40.500000000000028</v>
      </c>
      <c r="C205" s="11">
        <v>29.787500000000026</v>
      </c>
      <c r="D205" s="11">
        <v>0</v>
      </c>
      <c r="E205" s="11">
        <v>75.000000000000028</v>
      </c>
      <c r="F205" s="11">
        <v>29.787500000000012</v>
      </c>
      <c r="G205" s="11">
        <v>1.4210854715202004E-14</v>
      </c>
      <c r="J205" s="11">
        <v>203</v>
      </c>
      <c r="K205" s="11">
        <f t="shared" si="24"/>
        <v>40.500000000000028</v>
      </c>
      <c r="L205" s="11">
        <f t="shared" si="25"/>
        <v>0</v>
      </c>
      <c r="M205" s="11">
        <f t="shared" si="26"/>
        <v>29.787500000000026</v>
      </c>
      <c r="N205" s="11">
        <f t="shared" si="27"/>
        <v>75.000000000000028</v>
      </c>
      <c r="O205" s="11">
        <f t="shared" si="28"/>
        <v>-1.4210854715202004E-14</v>
      </c>
      <c r="P205" s="11">
        <f t="shared" si="29"/>
        <v>29.787500000000012</v>
      </c>
    </row>
    <row r="206" spans="1:16">
      <c r="A206" s="11">
        <v>204</v>
      </c>
      <c r="B206" s="11">
        <v>75.000000000000028</v>
      </c>
      <c r="C206" s="11">
        <v>29.787500000000012</v>
      </c>
      <c r="D206" s="11">
        <v>1.4210854715202004E-14</v>
      </c>
      <c r="E206" s="11">
        <v>109.50000000000001</v>
      </c>
      <c r="F206" s="11">
        <v>29.787500000000012</v>
      </c>
      <c r="G206" s="11">
        <v>1.4210854715202004E-14</v>
      </c>
      <c r="J206" s="11">
        <v>204</v>
      </c>
      <c r="K206" s="11">
        <f t="shared" si="24"/>
        <v>75.000000000000028</v>
      </c>
      <c r="L206" s="11">
        <f t="shared" si="25"/>
        <v>-1.4210854715202004E-14</v>
      </c>
      <c r="M206" s="11">
        <f t="shared" si="26"/>
        <v>29.787500000000012</v>
      </c>
      <c r="N206" s="11">
        <f t="shared" si="27"/>
        <v>109.50000000000001</v>
      </c>
      <c r="O206" s="11">
        <f t="shared" si="28"/>
        <v>-1.4210854715202004E-14</v>
      </c>
      <c r="P206" s="11">
        <f t="shared" si="29"/>
        <v>29.787500000000012</v>
      </c>
    </row>
    <row r="207" spans="1:16">
      <c r="A207" s="11">
        <v>205</v>
      </c>
      <c r="B207" s="11">
        <v>109.50000000000001</v>
      </c>
      <c r="C207" s="11">
        <v>29.787500000000012</v>
      </c>
      <c r="D207" s="11">
        <v>1.4210854715202004E-14</v>
      </c>
      <c r="E207" s="11">
        <v>144.00000000000003</v>
      </c>
      <c r="F207" s="11">
        <v>29.787500000000012</v>
      </c>
      <c r="G207" s="11">
        <v>2.8421709430404007E-14</v>
      </c>
      <c r="J207" s="11">
        <v>205</v>
      </c>
      <c r="K207" s="11">
        <f t="shared" si="24"/>
        <v>109.50000000000001</v>
      </c>
      <c r="L207" s="11">
        <f t="shared" si="25"/>
        <v>-1.4210854715202004E-14</v>
      </c>
      <c r="M207" s="11">
        <f t="shared" si="26"/>
        <v>29.787500000000012</v>
      </c>
      <c r="N207" s="11">
        <f t="shared" si="27"/>
        <v>144.00000000000003</v>
      </c>
      <c r="O207" s="11">
        <f t="shared" si="28"/>
        <v>-2.8421709430404007E-14</v>
      </c>
      <c r="P207" s="11">
        <f t="shared" si="29"/>
        <v>29.787500000000012</v>
      </c>
    </row>
    <row r="208" spans="1:16">
      <c r="A208" s="11">
        <v>206</v>
      </c>
      <c r="B208" s="11">
        <v>144.00000000000003</v>
      </c>
      <c r="C208" s="11">
        <v>29.787500000000012</v>
      </c>
      <c r="D208" s="11">
        <v>2.8421709430404007E-14</v>
      </c>
      <c r="E208" s="11">
        <v>178.50000000000003</v>
      </c>
      <c r="F208" s="11">
        <v>29.787499999999998</v>
      </c>
      <c r="G208" s="11">
        <v>2.8421709430404007E-14</v>
      </c>
      <c r="J208" s="11">
        <v>206</v>
      </c>
      <c r="K208" s="11">
        <f t="shared" si="24"/>
        <v>144.00000000000003</v>
      </c>
      <c r="L208" s="11">
        <f t="shared" si="25"/>
        <v>-2.8421709430404007E-14</v>
      </c>
      <c r="M208" s="11">
        <f t="shared" si="26"/>
        <v>29.787500000000012</v>
      </c>
      <c r="N208" s="11">
        <f t="shared" si="27"/>
        <v>178.50000000000003</v>
      </c>
      <c r="O208" s="11">
        <f t="shared" si="28"/>
        <v>-2.8421709430404007E-14</v>
      </c>
      <c r="P208" s="11">
        <f t="shared" si="29"/>
        <v>29.787499999999998</v>
      </c>
    </row>
    <row r="209" spans="1:16">
      <c r="A209" s="11">
        <v>207</v>
      </c>
      <c r="B209" s="11">
        <v>178.50000000000003</v>
      </c>
      <c r="C209" s="11">
        <v>29.787499999999998</v>
      </c>
      <c r="D209" s="11">
        <v>2.8421709430404007E-14</v>
      </c>
      <c r="E209" s="11">
        <v>213.00000000000003</v>
      </c>
      <c r="F209" s="11">
        <v>29.787499999999998</v>
      </c>
      <c r="G209" s="11">
        <v>4.2632564145606011E-14</v>
      </c>
      <c r="J209" s="11">
        <v>207</v>
      </c>
      <c r="K209" s="11">
        <f t="shared" si="24"/>
        <v>178.50000000000003</v>
      </c>
      <c r="L209" s="11">
        <f t="shared" si="25"/>
        <v>-2.8421709430404007E-14</v>
      </c>
      <c r="M209" s="11">
        <f t="shared" si="26"/>
        <v>29.787499999999998</v>
      </c>
      <c r="N209" s="11">
        <f t="shared" si="27"/>
        <v>213.00000000000003</v>
      </c>
      <c r="O209" s="11">
        <f t="shared" si="28"/>
        <v>-4.2632564145606011E-14</v>
      </c>
      <c r="P209" s="11">
        <f t="shared" si="29"/>
        <v>29.787499999999998</v>
      </c>
    </row>
    <row r="210" spans="1:16">
      <c r="A210" s="11">
        <v>208</v>
      </c>
      <c r="B210" s="11">
        <v>213.00000000000003</v>
      </c>
      <c r="C210" s="11">
        <v>29.787499999999998</v>
      </c>
      <c r="D210" s="11">
        <v>4.2632564145606011E-14</v>
      </c>
      <c r="E210" s="11">
        <v>247.50000000000006</v>
      </c>
      <c r="F210" s="11">
        <v>29.787499999999998</v>
      </c>
      <c r="G210" s="11">
        <v>5.6843418860808015E-14</v>
      </c>
      <c r="J210" s="11">
        <v>208</v>
      </c>
      <c r="K210" s="11">
        <f t="shared" si="24"/>
        <v>213.00000000000003</v>
      </c>
      <c r="L210" s="11">
        <f t="shared" si="25"/>
        <v>-4.2632564145606011E-14</v>
      </c>
      <c r="M210" s="11">
        <f t="shared" si="26"/>
        <v>29.787499999999998</v>
      </c>
      <c r="N210" s="11">
        <f t="shared" si="27"/>
        <v>247.50000000000006</v>
      </c>
      <c r="O210" s="11">
        <f t="shared" si="28"/>
        <v>-5.6843418860808015E-14</v>
      </c>
      <c r="P210" s="11">
        <f t="shared" si="29"/>
        <v>29.787499999999998</v>
      </c>
    </row>
    <row r="211" spans="1:16">
      <c r="A211" s="11">
        <v>209</v>
      </c>
      <c r="B211" s="11">
        <v>14.624999999999943</v>
      </c>
      <c r="C211" s="11">
        <v>24.193750000000041</v>
      </c>
      <c r="D211" s="11">
        <v>-31.999999999999993</v>
      </c>
      <c r="E211" s="11">
        <v>23.249999999999972</v>
      </c>
      <c r="F211" s="11">
        <v>29.787500000000041</v>
      </c>
      <c r="G211" s="11">
        <v>-31.999999999999993</v>
      </c>
      <c r="J211" s="11">
        <v>209</v>
      </c>
      <c r="K211" s="11">
        <f t="shared" si="24"/>
        <v>14.624999999999943</v>
      </c>
      <c r="L211" s="11">
        <f t="shared" si="25"/>
        <v>31.999999999999993</v>
      </c>
      <c r="M211" s="11">
        <f t="shared" si="26"/>
        <v>24.193750000000041</v>
      </c>
      <c r="N211" s="11">
        <f t="shared" si="27"/>
        <v>23.249999999999972</v>
      </c>
      <c r="O211" s="11">
        <f t="shared" si="28"/>
        <v>31.999999999999993</v>
      </c>
      <c r="P211" s="11">
        <f t="shared" si="29"/>
        <v>29.787500000000041</v>
      </c>
    </row>
    <row r="212" spans="1:16">
      <c r="A212" s="11">
        <v>210</v>
      </c>
      <c r="B212" s="11">
        <v>5.9999999999999432</v>
      </c>
      <c r="C212" s="11">
        <v>29.787500000000041</v>
      </c>
      <c r="D212" s="11">
        <v>-31.999999999999993</v>
      </c>
      <c r="E212" s="11">
        <v>14.624999999999943</v>
      </c>
      <c r="F212" s="11">
        <v>24.193750000000041</v>
      </c>
      <c r="G212" s="11">
        <v>-31.999999999999993</v>
      </c>
      <c r="J212" s="11">
        <v>210</v>
      </c>
      <c r="K212" s="11">
        <f t="shared" si="24"/>
        <v>5.9999999999999432</v>
      </c>
      <c r="L212" s="11">
        <f t="shared" si="25"/>
        <v>31.999999999999993</v>
      </c>
      <c r="M212" s="11">
        <f t="shared" si="26"/>
        <v>29.787500000000041</v>
      </c>
      <c r="N212" s="11">
        <f t="shared" si="27"/>
        <v>14.624999999999943</v>
      </c>
      <c r="O212" s="11">
        <f t="shared" si="28"/>
        <v>31.999999999999993</v>
      </c>
      <c r="P212" s="11">
        <f t="shared" si="29"/>
        <v>24.193750000000041</v>
      </c>
    </row>
    <row r="213" spans="1:16">
      <c r="A213" s="11">
        <v>211</v>
      </c>
      <c r="B213" s="11">
        <v>49.124999999999972</v>
      </c>
      <c r="C213" s="11">
        <v>24.193750000000041</v>
      </c>
      <c r="D213" s="11">
        <v>-31.999999999999993</v>
      </c>
      <c r="E213" s="11">
        <v>57.749999999999972</v>
      </c>
      <c r="F213" s="11">
        <v>29.787500000000041</v>
      </c>
      <c r="G213" s="11">
        <v>-31.999999999999979</v>
      </c>
      <c r="J213" s="11">
        <v>211</v>
      </c>
      <c r="K213" s="11">
        <f t="shared" si="24"/>
        <v>49.124999999999972</v>
      </c>
      <c r="L213" s="11">
        <f t="shared" si="25"/>
        <v>31.999999999999993</v>
      </c>
      <c r="M213" s="11">
        <f t="shared" si="26"/>
        <v>24.193750000000041</v>
      </c>
      <c r="N213" s="11">
        <f t="shared" si="27"/>
        <v>57.749999999999972</v>
      </c>
      <c r="O213" s="11">
        <f t="shared" si="28"/>
        <v>31.999999999999979</v>
      </c>
      <c r="P213" s="11">
        <f t="shared" si="29"/>
        <v>29.787500000000041</v>
      </c>
    </row>
    <row r="214" spans="1:16">
      <c r="A214" s="11">
        <v>212</v>
      </c>
      <c r="B214" s="11">
        <v>40.499999999999972</v>
      </c>
      <c r="C214" s="11">
        <v>29.787500000000041</v>
      </c>
      <c r="D214" s="11">
        <v>-31.999999999999993</v>
      </c>
      <c r="E214" s="11">
        <v>49.124999999999972</v>
      </c>
      <c r="F214" s="11">
        <v>24.193750000000041</v>
      </c>
      <c r="G214" s="11">
        <v>-31.999999999999993</v>
      </c>
      <c r="J214" s="11">
        <v>212</v>
      </c>
      <c r="K214" s="11">
        <f t="shared" si="24"/>
        <v>40.499999999999972</v>
      </c>
      <c r="L214" s="11">
        <f t="shared" si="25"/>
        <v>31.999999999999993</v>
      </c>
      <c r="M214" s="11">
        <f t="shared" si="26"/>
        <v>29.787500000000041</v>
      </c>
      <c r="N214" s="11">
        <f t="shared" si="27"/>
        <v>49.124999999999972</v>
      </c>
      <c r="O214" s="11">
        <f t="shared" si="28"/>
        <v>31.999999999999993</v>
      </c>
      <c r="P214" s="11">
        <f t="shared" si="29"/>
        <v>24.193750000000041</v>
      </c>
    </row>
    <row r="215" spans="1:16">
      <c r="A215" s="11">
        <v>213</v>
      </c>
      <c r="B215" s="11">
        <v>31.874999999999972</v>
      </c>
      <c r="C215" s="11">
        <v>24.193750000000041</v>
      </c>
      <c r="D215" s="11">
        <v>-31.999999999999993</v>
      </c>
      <c r="E215" s="11">
        <v>40.499999999999972</v>
      </c>
      <c r="F215" s="11">
        <v>29.787500000000041</v>
      </c>
      <c r="G215" s="11">
        <v>-31.999999999999993</v>
      </c>
      <c r="J215" s="11">
        <v>213</v>
      </c>
      <c r="K215" s="11">
        <f t="shared" si="24"/>
        <v>31.874999999999972</v>
      </c>
      <c r="L215" s="11">
        <f t="shared" si="25"/>
        <v>31.999999999999993</v>
      </c>
      <c r="M215" s="11">
        <f t="shared" si="26"/>
        <v>24.193750000000041</v>
      </c>
      <c r="N215" s="11">
        <f t="shared" si="27"/>
        <v>40.499999999999972</v>
      </c>
      <c r="O215" s="11">
        <f t="shared" si="28"/>
        <v>31.999999999999993</v>
      </c>
      <c r="P215" s="11">
        <f t="shared" si="29"/>
        <v>29.787500000000041</v>
      </c>
    </row>
    <row r="216" spans="1:16">
      <c r="A216" s="11">
        <v>214</v>
      </c>
      <c r="B216" s="11">
        <v>23.249999999999972</v>
      </c>
      <c r="C216" s="11">
        <v>29.787500000000041</v>
      </c>
      <c r="D216" s="11">
        <v>-31.999999999999993</v>
      </c>
      <c r="E216" s="11">
        <v>31.874999999999972</v>
      </c>
      <c r="F216" s="11">
        <v>24.193750000000041</v>
      </c>
      <c r="G216" s="11">
        <v>-31.999999999999993</v>
      </c>
      <c r="J216" s="11">
        <v>214</v>
      </c>
      <c r="K216" s="11">
        <f t="shared" si="24"/>
        <v>23.249999999999972</v>
      </c>
      <c r="L216" s="11">
        <f t="shared" si="25"/>
        <v>31.999999999999993</v>
      </c>
      <c r="M216" s="11">
        <f t="shared" si="26"/>
        <v>29.787500000000041</v>
      </c>
      <c r="N216" s="11">
        <f t="shared" si="27"/>
        <v>31.874999999999972</v>
      </c>
      <c r="O216" s="11">
        <f t="shared" si="28"/>
        <v>31.999999999999993</v>
      </c>
      <c r="P216" s="11">
        <f t="shared" si="29"/>
        <v>24.193750000000041</v>
      </c>
    </row>
    <row r="217" spans="1:16">
      <c r="A217" s="11">
        <v>215</v>
      </c>
      <c r="B217" s="11">
        <v>83.624999999999972</v>
      </c>
      <c r="C217" s="11">
        <v>24.193750000000026</v>
      </c>
      <c r="D217" s="11">
        <v>-31.999999999999979</v>
      </c>
      <c r="E217" s="11">
        <v>92.249999999999943</v>
      </c>
      <c r="F217" s="11">
        <v>29.787500000000026</v>
      </c>
      <c r="G217" s="11">
        <v>-31.999999999999979</v>
      </c>
      <c r="J217" s="11">
        <v>215</v>
      </c>
      <c r="K217" s="11">
        <f t="shared" si="24"/>
        <v>83.624999999999972</v>
      </c>
      <c r="L217" s="11">
        <f t="shared" si="25"/>
        <v>31.999999999999979</v>
      </c>
      <c r="M217" s="11">
        <f t="shared" si="26"/>
        <v>24.193750000000026</v>
      </c>
      <c r="N217" s="11">
        <f t="shared" si="27"/>
        <v>92.249999999999943</v>
      </c>
      <c r="O217" s="11">
        <f t="shared" si="28"/>
        <v>31.999999999999979</v>
      </c>
      <c r="P217" s="11">
        <f t="shared" si="29"/>
        <v>29.787500000000026</v>
      </c>
    </row>
    <row r="218" spans="1:16">
      <c r="A218" s="11">
        <v>216</v>
      </c>
      <c r="B218" s="11">
        <v>74.999999999999972</v>
      </c>
      <c r="C218" s="11">
        <v>29.787500000000026</v>
      </c>
      <c r="D218" s="11">
        <v>-31.999999999999979</v>
      </c>
      <c r="E218" s="11">
        <v>83.624999999999972</v>
      </c>
      <c r="F218" s="11">
        <v>24.193750000000026</v>
      </c>
      <c r="G218" s="11">
        <v>-31.999999999999979</v>
      </c>
      <c r="J218" s="11">
        <v>216</v>
      </c>
      <c r="K218" s="11">
        <f t="shared" si="24"/>
        <v>74.999999999999972</v>
      </c>
      <c r="L218" s="11">
        <f t="shared" si="25"/>
        <v>31.999999999999979</v>
      </c>
      <c r="M218" s="11">
        <f t="shared" si="26"/>
        <v>29.787500000000026</v>
      </c>
      <c r="N218" s="11">
        <f t="shared" si="27"/>
        <v>83.624999999999972</v>
      </c>
      <c r="O218" s="11">
        <f t="shared" si="28"/>
        <v>31.999999999999979</v>
      </c>
      <c r="P218" s="11">
        <f t="shared" si="29"/>
        <v>24.193750000000026</v>
      </c>
    </row>
    <row r="219" spans="1:16">
      <c r="A219" s="11">
        <v>217</v>
      </c>
      <c r="B219" s="11">
        <v>66.374999999999972</v>
      </c>
      <c r="C219" s="11">
        <v>24.193750000000041</v>
      </c>
      <c r="D219" s="11">
        <v>-31.999999999999979</v>
      </c>
      <c r="E219" s="11">
        <v>74.999999999999972</v>
      </c>
      <c r="F219" s="11">
        <v>29.787500000000026</v>
      </c>
      <c r="G219" s="11">
        <v>-31.999999999999979</v>
      </c>
      <c r="J219" s="11">
        <v>217</v>
      </c>
      <c r="K219" s="11">
        <f t="shared" si="24"/>
        <v>66.374999999999972</v>
      </c>
      <c r="L219" s="11">
        <f t="shared" si="25"/>
        <v>31.999999999999979</v>
      </c>
      <c r="M219" s="11">
        <f t="shared" si="26"/>
        <v>24.193750000000041</v>
      </c>
      <c r="N219" s="11">
        <f t="shared" si="27"/>
        <v>74.999999999999972</v>
      </c>
      <c r="O219" s="11">
        <f t="shared" si="28"/>
        <v>31.999999999999979</v>
      </c>
      <c r="P219" s="11">
        <f t="shared" si="29"/>
        <v>29.787500000000026</v>
      </c>
    </row>
    <row r="220" spans="1:16">
      <c r="A220" s="11">
        <v>218</v>
      </c>
      <c r="B220" s="11">
        <v>57.749999999999972</v>
      </c>
      <c r="C220" s="11">
        <v>29.787500000000041</v>
      </c>
      <c r="D220" s="11">
        <v>-31.999999999999979</v>
      </c>
      <c r="E220" s="11">
        <v>66.374999999999972</v>
      </c>
      <c r="F220" s="11">
        <v>24.193750000000041</v>
      </c>
      <c r="G220" s="11">
        <v>-31.999999999999979</v>
      </c>
      <c r="J220" s="11">
        <v>218</v>
      </c>
      <c r="K220" s="11">
        <f t="shared" si="24"/>
        <v>57.749999999999972</v>
      </c>
      <c r="L220" s="11">
        <f t="shared" si="25"/>
        <v>31.999999999999979</v>
      </c>
      <c r="M220" s="11">
        <f t="shared" si="26"/>
        <v>29.787500000000041</v>
      </c>
      <c r="N220" s="11">
        <f t="shared" si="27"/>
        <v>66.374999999999972</v>
      </c>
      <c r="O220" s="11">
        <f t="shared" si="28"/>
        <v>31.999999999999979</v>
      </c>
      <c r="P220" s="11">
        <f t="shared" si="29"/>
        <v>24.193750000000041</v>
      </c>
    </row>
    <row r="221" spans="1:16">
      <c r="A221" s="11">
        <v>219</v>
      </c>
      <c r="B221" s="11">
        <v>118.12499999999997</v>
      </c>
      <c r="C221" s="11">
        <v>24.193750000000026</v>
      </c>
      <c r="D221" s="11">
        <v>-31.999999999999964</v>
      </c>
      <c r="E221" s="11">
        <v>126.74999999999997</v>
      </c>
      <c r="F221" s="11">
        <v>29.787500000000026</v>
      </c>
      <c r="G221" s="11">
        <v>-31.999999999999964</v>
      </c>
      <c r="J221" s="11">
        <v>219</v>
      </c>
      <c r="K221" s="11">
        <f t="shared" si="24"/>
        <v>118.12499999999997</v>
      </c>
      <c r="L221" s="11">
        <f t="shared" si="25"/>
        <v>31.999999999999964</v>
      </c>
      <c r="M221" s="11">
        <f t="shared" si="26"/>
        <v>24.193750000000026</v>
      </c>
      <c r="N221" s="11">
        <f t="shared" si="27"/>
        <v>126.74999999999997</v>
      </c>
      <c r="O221" s="11">
        <f t="shared" si="28"/>
        <v>31.999999999999964</v>
      </c>
      <c r="P221" s="11">
        <f t="shared" si="29"/>
        <v>29.787500000000026</v>
      </c>
    </row>
    <row r="222" spans="1:16">
      <c r="A222" s="11">
        <v>220</v>
      </c>
      <c r="B222" s="11">
        <v>109.49999999999994</v>
      </c>
      <c r="C222" s="11">
        <v>29.787500000000026</v>
      </c>
      <c r="D222" s="11">
        <v>-31.999999999999979</v>
      </c>
      <c r="E222" s="11">
        <v>118.12499999999997</v>
      </c>
      <c r="F222" s="11">
        <v>24.193750000000026</v>
      </c>
      <c r="G222" s="11">
        <v>-31.999999999999964</v>
      </c>
      <c r="J222" s="11">
        <v>220</v>
      </c>
      <c r="K222" s="11">
        <f t="shared" si="24"/>
        <v>109.49999999999994</v>
      </c>
      <c r="L222" s="11">
        <f t="shared" si="25"/>
        <v>31.999999999999979</v>
      </c>
      <c r="M222" s="11">
        <f t="shared" si="26"/>
        <v>29.787500000000026</v>
      </c>
      <c r="N222" s="11">
        <f t="shared" si="27"/>
        <v>118.12499999999997</v>
      </c>
      <c r="O222" s="11">
        <f t="shared" si="28"/>
        <v>31.999999999999964</v>
      </c>
      <c r="P222" s="11">
        <f t="shared" si="29"/>
        <v>24.193750000000026</v>
      </c>
    </row>
    <row r="223" spans="1:16">
      <c r="A223" s="11">
        <v>221</v>
      </c>
      <c r="B223" s="11">
        <v>100.87499999999994</v>
      </c>
      <c r="C223" s="11">
        <v>24.193750000000026</v>
      </c>
      <c r="D223" s="11">
        <v>-31.999999999999979</v>
      </c>
      <c r="E223" s="11">
        <v>109.49999999999994</v>
      </c>
      <c r="F223" s="11">
        <v>29.787500000000026</v>
      </c>
      <c r="G223" s="11">
        <v>-31.999999999999979</v>
      </c>
      <c r="J223" s="11">
        <v>221</v>
      </c>
      <c r="K223" s="11">
        <f t="shared" si="24"/>
        <v>100.87499999999994</v>
      </c>
      <c r="L223" s="11">
        <f t="shared" si="25"/>
        <v>31.999999999999979</v>
      </c>
      <c r="M223" s="11">
        <f t="shared" si="26"/>
        <v>24.193750000000026</v>
      </c>
      <c r="N223" s="11">
        <f t="shared" si="27"/>
        <v>109.49999999999994</v>
      </c>
      <c r="O223" s="11">
        <f t="shared" si="28"/>
        <v>31.999999999999979</v>
      </c>
      <c r="P223" s="11">
        <f t="shared" si="29"/>
        <v>29.787500000000026</v>
      </c>
    </row>
    <row r="224" spans="1:16">
      <c r="A224" s="11">
        <v>222</v>
      </c>
      <c r="B224" s="11">
        <v>92.249999999999943</v>
      </c>
      <c r="C224" s="11">
        <v>29.787500000000026</v>
      </c>
      <c r="D224" s="11">
        <v>-31.999999999999979</v>
      </c>
      <c r="E224" s="11">
        <v>100.87499999999994</v>
      </c>
      <c r="F224" s="11">
        <v>24.193750000000026</v>
      </c>
      <c r="G224" s="11">
        <v>-31.999999999999979</v>
      </c>
      <c r="J224" s="11">
        <v>222</v>
      </c>
      <c r="K224" s="11">
        <f t="shared" si="24"/>
        <v>92.249999999999943</v>
      </c>
      <c r="L224" s="11">
        <f t="shared" si="25"/>
        <v>31.999999999999979</v>
      </c>
      <c r="M224" s="11">
        <f t="shared" si="26"/>
        <v>29.787500000000026</v>
      </c>
      <c r="N224" s="11">
        <f t="shared" si="27"/>
        <v>100.87499999999994</v>
      </c>
      <c r="O224" s="11">
        <f t="shared" si="28"/>
        <v>31.999999999999979</v>
      </c>
      <c r="P224" s="11">
        <f t="shared" si="29"/>
        <v>24.193750000000026</v>
      </c>
    </row>
    <row r="225" spans="1:16">
      <c r="A225" s="11">
        <v>223</v>
      </c>
      <c r="B225" s="11">
        <v>152.62499999999997</v>
      </c>
      <c r="C225" s="11">
        <v>24.193750000000026</v>
      </c>
      <c r="D225" s="11">
        <v>-31.999999999999964</v>
      </c>
      <c r="E225" s="11">
        <v>161.24999999999997</v>
      </c>
      <c r="F225" s="11">
        <v>29.787500000000026</v>
      </c>
      <c r="G225" s="11">
        <v>-31.999999999999964</v>
      </c>
      <c r="J225" s="11">
        <v>223</v>
      </c>
      <c r="K225" s="11">
        <f t="shared" si="24"/>
        <v>152.62499999999997</v>
      </c>
      <c r="L225" s="11">
        <f t="shared" si="25"/>
        <v>31.999999999999964</v>
      </c>
      <c r="M225" s="11">
        <f t="shared" si="26"/>
        <v>24.193750000000026</v>
      </c>
      <c r="N225" s="11">
        <f t="shared" si="27"/>
        <v>161.24999999999997</v>
      </c>
      <c r="O225" s="11">
        <f t="shared" si="28"/>
        <v>31.999999999999964</v>
      </c>
      <c r="P225" s="11">
        <f t="shared" si="29"/>
        <v>29.787500000000026</v>
      </c>
    </row>
    <row r="226" spans="1:16">
      <c r="A226" s="11">
        <v>224</v>
      </c>
      <c r="B226" s="11">
        <v>143.99999999999997</v>
      </c>
      <c r="C226" s="11">
        <v>29.787500000000026</v>
      </c>
      <c r="D226" s="11">
        <v>-31.999999999999964</v>
      </c>
      <c r="E226" s="11">
        <v>152.62499999999997</v>
      </c>
      <c r="F226" s="11">
        <v>24.193750000000026</v>
      </c>
      <c r="G226" s="11">
        <v>-31.999999999999964</v>
      </c>
      <c r="J226" s="11">
        <v>224</v>
      </c>
      <c r="K226" s="11">
        <f t="shared" si="24"/>
        <v>143.99999999999997</v>
      </c>
      <c r="L226" s="11">
        <f t="shared" si="25"/>
        <v>31.999999999999964</v>
      </c>
      <c r="M226" s="11">
        <f t="shared" si="26"/>
        <v>29.787500000000026</v>
      </c>
      <c r="N226" s="11">
        <f t="shared" si="27"/>
        <v>152.62499999999997</v>
      </c>
      <c r="O226" s="11">
        <f t="shared" si="28"/>
        <v>31.999999999999964</v>
      </c>
      <c r="P226" s="11">
        <f t="shared" si="29"/>
        <v>24.193750000000026</v>
      </c>
    </row>
    <row r="227" spans="1:16">
      <c r="A227" s="11">
        <v>225</v>
      </c>
      <c r="B227" s="11">
        <v>135.37499999999997</v>
      </c>
      <c r="C227" s="11">
        <v>24.193750000000026</v>
      </c>
      <c r="D227" s="11">
        <v>-31.999999999999964</v>
      </c>
      <c r="E227" s="11">
        <v>143.99999999999997</v>
      </c>
      <c r="F227" s="11">
        <v>29.787500000000026</v>
      </c>
      <c r="G227" s="11">
        <v>-31.999999999999964</v>
      </c>
      <c r="J227" s="11">
        <v>225</v>
      </c>
      <c r="K227" s="11">
        <f t="shared" si="24"/>
        <v>135.37499999999997</v>
      </c>
      <c r="L227" s="11">
        <f t="shared" si="25"/>
        <v>31.999999999999964</v>
      </c>
      <c r="M227" s="11">
        <f t="shared" si="26"/>
        <v>24.193750000000026</v>
      </c>
      <c r="N227" s="11">
        <f t="shared" si="27"/>
        <v>143.99999999999997</v>
      </c>
      <c r="O227" s="11">
        <f t="shared" si="28"/>
        <v>31.999999999999964</v>
      </c>
      <c r="P227" s="11">
        <f t="shared" si="29"/>
        <v>29.787500000000026</v>
      </c>
    </row>
    <row r="228" spans="1:16">
      <c r="A228" s="11">
        <v>226</v>
      </c>
      <c r="B228" s="11">
        <v>126.74999999999997</v>
      </c>
      <c r="C228" s="11">
        <v>29.787500000000026</v>
      </c>
      <c r="D228" s="11">
        <v>-31.999999999999964</v>
      </c>
      <c r="E228" s="11">
        <v>135.37499999999997</v>
      </c>
      <c r="F228" s="11">
        <v>24.193750000000026</v>
      </c>
      <c r="G228" s="11">
        <v>-31.999999999999964</v>
      </c>
      <c r="J228" s="11">
        <v>226</v>
      </c>
      <c r="K228" s="11">
        <f t="shared" si="24"/>
        <v>126.74999999999997</v>
      </c>
      <c r="L228" s="11">
        <f t="shared" si="25"/>
        <v>31.999999999999964</v>
      </c>
      <c r="M228" s="11">
        <f t="shared" si="26"/>
        <v>29.787500000000026</v>
      </c>
      <c r="N228" s="11">
        <f t="shared" si="27"/>
        <v>135.37499999999997</v>
      </c>
      <c r="O228" s="11">
        <f t="shared" si="28"/>
        <v>31.999999999999964</v>
      </c>
      <c r="P228" s="11">
        <f t="shared" si="29"/>
        <v>24.193750000000026</v>
      </c>
    </row>
    <row r="229" spans="1:16">
      <c r="A229" s="11">
        <v>227</v>
      </c>
      <c r="B229" s="11">
        <v>187.12499999999997</v>
      </c>
      <c r="C229" s="11">
        <v>24.193750000000012</v>
      </c>
      <c r="D229" s="11">
        <v>-31.99999999999995</v>
      </c>
      <c r="E229" s="11">
        <v>195.74999999999997</v>
      </c>
      <c r="F229" s="11">
        <v>29.787500000000012</v>
      </c>
      <c r="G229" s="11">
        <v>-31.99999999999995</v>
      </c>
      <c r="J229" s="11">
        <v>227</v>
      </c>
      <c r="K229" s="11">
        <f t="shared" si="24"/>
        <v>187.12499999999997</v>
      </c>
      <c r="L229" s="11">
        <f t="shared" si="25"/>
        <v>31.99999999999995</v>
      </c>
      <c r="M229" s="11">
        <f t="shared" si="26"/>
        <v>24.193750000000012</v>
      </c>
      <c r="N229" s="11">
        <f t="shared" si="27"/>
        <v>195.74999999999997</v>
      </c>
      <c r="O229" s="11">
        <f t="shared" si="28"/>
        <v>31.99999999999995</v>
      </c>
      <c r="P229" s="11">
        <f t="shared" si="29"/>
        <v>29.787500000000012</v>
      </c>
    </row>
    <row r="230" spans="1:16">
      <c r="A230" s="11">
        <v>228</v>
      </c>
      <c r="B230" s="11">
        <v>178.49999999999997</v>
      </c>
      <c r="C230" s="11">
        <v>29.787500000000012</v>
      </c>
      <c r="D230" s="11">
        <v>-31.999999999999964</v>
      </c>
      <c r="E230" s="11">
        <v>187.12499999999997</v>
      </c>
      <c r="F230" s="11">
        <v>24.193750000000012</v>
      </c>
      <c r="G230" s="11">
        <v>-31.99999999999995</v>
      </c>
      <c r="J230" s="11">
        <v>228</v>
      </c>
      <c r="K230" s="11">
        <f t="shared" si="24"/>
        <v>178.49999999999997</v>
      </c>
      <c r="L230" s="11">
        <f t="shared" si="25"/>
        <v>31.999999999999964</v>
      </c>
      <c r="M230" s="11">
        <f t="shared" si="26"/>
        <v>29.787500000000012</v>
      </c>
      <c r="N230" s="11">
        <f t="shared" si="27"/>
        <v>187.12499999999997</v>
      </c>
      <c r="O230" s="11">
        <f t="shared" si="28"/>
        <v>31.99999999999995</v>
      </c>
      <c r="P230" s="11">
        <f t="shared" si="29"/>
        <v>24.193750000000012</v>
      </c>
    </row>
    <row r="231" spans="1:16">
      <c r="A231" s="11">
        <v>229</v>
      </c>
      <c r="B231" s="11">
        <v>169.87499999999997</v>
      </c>
      <c r="C231" s="11">
        <v>24.193750000000012</v>
      </c>
      <c r="D231" s="11">
        <v>-31.999999999999964</v>
      </c>
      <c r="E231" s="11">
        <v>178.49999999999997</v>
      </c>
      <c r="F231" s="11">
        <v>29.787500000000012</v>
      </c>
      <c r="G231" s="11">
        <v>-31.999999999999964</v>
      </c>
      <c r="J231" s="11">
        <v>229</v>
      </c>
      <c r="K231" s="11">
        <f t="shared" si="24"/>
        <v>169.87499999999997</v>
      </c>
      <c r="L231" s="11">
        <f t="shared" si="25"/>
        <v>31.999999999999964</v>
      </c>
      <c r="M231" s="11">
        <f t="shared" si="26"/>
        <v>24.193750000000012</v>
      </c>
      <c r="N231" s="11">
        <f t="shared" si="27"/>
        <v>178.49999999999997</v>
      </c>
      <c r="O231" s="11">
        <f t="shared" si="28"/>
        <v>31.999999999999964</v>
      </c>
      <c r="P231" s="11">
        <f t="shared" si="29"/>
        <v>29.787500000000012</v>
      </c>
    </row>
    <row r="232" spans="1:16">
      <c r="A232" s="11">
        <v>230</v>
      </c>
      <c r="B232" s="11">
        <v>161.24999999999997</v>
      </c>
      <c r="C232" s="11">
        <v>29.787500000000026</v>
      </c>
      <c r="D232" s="11">
        <v>-31.999999999999964</v>
      </c>
      <c r="E232" s="11">
        <v>169.87499999999997</v>
      </c>
      <c r="F232" s="11">
        <v>24.193750000000012</v>
      </c>
      <c r="G232" s="11">
        <v>-31.999999999999964</v>
      </c>
      <c r="J232" s="11">
        <v>230</v>
      </c>
      <c r="K232" s="11">
        <f t="shared" si="24"/>
        <v>161.24999999999997</v>
      </c>
      <c r="L232" s="11">
        <f t="shared" si="25"/>
        <v>31.999999999999964</v>
      </c>
      <c r="M232" s="11">
        <f t="shared" si="26"/>
        <v>29.787500000000026</v>
      </c>
      <c r="N232" s="11">
        <f t="shared" si="27"/>
        <v>169.87499999999997</v>
      </c>
      <c r="O232" s="11">
        <f t="shared" si="28"/>
        <v>31.999999999999964</v>
      </c>
      <c r="P232" s="11">
        <f t="shared" si="29"/>
        <v>24.193750000000012</v>
      </c>
    </row>
    <row r="233" spans="1:16">
      <c r="A233" s="11">
        <v>231</v>
      </c>
      <c r="B233" s="11">
        <v>221.62499999999997</v>
      </c>
      <c r="C233" s="11">
        <v>24.193750000000012</v>
      </c>
      <c r="D233" s="11">
        <v>-31.99999999999995</v>
      </c>
      <c r="E233" s="11">
        <v>230.25</v>
      </c>
      <c r="F233" s="11">
        <v>29.787500000000012</v>
      </c>
      <c r="G233" s="11">
        <v>-31.99999999999995</v>
      </c>
      <c r="J233" s="11">
        <v>231</v>
      </c>
      <c r="K233" s="11">
        <f t="shared" si="24"/>
        <v>221.62499999999997</v>
      </c>
      <c r="L233" s="11">
        <f t="shared" si="25"/>
        <v>31.99999999999995</v>
      </c>
      <c r="M233" s="11">
        <f t="shared" si="26"/>
        <v>24.193750000000012</v>
      </c>
      <c r="N233" s="11">
        <f t="shared" si="27"/>
        <v>230.25</v>
      </c>
      <c r="O233" s="11">
        <f t="shared" si="28"/>
        <v>31.99999999999995</v>
      </c>
      <c r="P233" s="11">
        <f t="shared" si="29"/>
        <v>29.787500000000012</v>
      </c>
    </row>
    <row r="234" spans="1:16">
      <c r="A234" s="11">
        <v>232</v>
      </c>
      <c r="B234" s="11">
        <v>212.99999999999997</v>
      </c>
      <c r="C234" s="11">
        <v>29.787500000000012</v>
      </c>
      <c r="D234" s="11">
        <v>-31.99999999999995</v>
      </c>
      <c r="E234" s="11">
        <v>221.62499999999997</v>
      </c>
      <c r="F234" s="11">
        <v>24.193750000000012</v>
      </c>
      <c r="G234" s="11">
        <v>-31.99999999999995</v>
      </c>
      <c r="J234" s="11">
        <v>232</v>
      </c>
      <c r="K234" s="11">
        <f t="shared" si="24"/>
        <v>212.99999999999997</v>
      </c>
      <c r="L234" s="11">
        <f t="shared" si="25"/>
        <v>31.99999999999995</v>
      </c>
      <c r="M234" s="11">
        <f t="shared" si="26"/>
        <v>29.787500000000012</v>
      </c>
      <c r="N234" s="11">
        <f t="shared" si="27"/>
        <v>221.62499999999997</v>
      </c>
      <c r="O234" s="11">
        <f t="shared" si="28"/>
        <v>31.99999999999995</v>
      </c>
      <c r="P234" s="11">
        <f t="shared" si="29"/>
        <v>24.193750000000012</v>
      </c>
    </row>
    <row r="235" spans="1:16">
      <c r="A235" s="11">
        <v>233</v>
      </c>
      <c r="B235" s="11">
        <v>204.37499999999997</v>
      </c>
      <c r="C235" s="11">
        <v>24.193750000000012</v>
      </c>
      <c r="D235" s="11">
        <v>-31.99999999999995</v>
      </c>
      <c r="E235" s="11">
        <v>212.99999999999997</v>
      </c>
      <c r="F235" s="11">
        <v>29.787500000000012</v>
      </c>
      <c r="G235" s="11">
        <v>-31.99999999999995</v>
      </c>
      <c r="J235" s="11">
        <v>233</v>
      </c>
      <c r="K235" s="11">
        <f t="shared" si="24"/>
        <v>204.37499999999997</v>
      </c>
      <c r="L235" s="11">
        <f t="shared" si="25"/>
        <v>31.99999999999995</v>
      </c>
      <c r="M235" s="11">
        <f t="shared" si="26"/>
        <v>24.193750000000012</v>
      </c>
      <c r="N235" s="11">
        <f t="shared" si="27"/>
        <v>212.99999999999997</v>
      </c>
      <c r="O235" s="11">
        <f t="shared" si="28"/>
        <v>31.99999999999995</v>
      </c>
      <c r="P235" s="11">
        <f t="shared" si="29"/>
        <v>29.787500000000012</v>
      </c>
    </row>
    <row r="236" spans="1:16">
      <c r="A236" s="11">
        <v>234</v>
      </c>
      <c r="B236" s="11">
        <v>195.74999999999997</v>
      </c>
      <c r="C236" s="11">
        <v>29.787500000000012</v>
      </c>
      <c r="D236" s="11">
        <v>-31.99999999999995</v>
      </c>
      <c r="E236" s="11">
        <v>204.37499999999997</v>
      </c>
      <c r="F236" s="11">
        <v>24.193750000000012</v>
      </c>
      <c r="G236" s="11">
        <v>-31.99999999999995</v>
      </c>
      <c r="J236" s="11">
        <v>234</v>
      </c>
      <c r="K236" s="11">
        <f t="shared" si="24"/>
        <v>195.74999999999997</v>
      </c>
      <c r="L236" s="11">
        <f t="shared" si="25"/>
        <v>31.99999999999995</v>
      </c>
      <c r="M236" s="11">
        <f t="shared" si="26"/>
        <v>29.787500000000012</v>
      </c>
      <c r="N236" s="11">
        <f t="shared" si="27"/>
        <v>204.37499999999997</v>
      </c>
      <c r="O236" s="11">
        <f t="shared" si="28"/>
        <v>31.99999999999995</v>
      </c>
      <c r="P236" s="11">
        <f t="shared" si="29"/>
        <v>24.193750000000012</v>
      </c>
    </row>
    <row r="237" spans="1:16">
      <c r="A237" s="11">
        <v>235</v>
      </c>
      <c r="B237" s="11">
        <v>238.875</v>
      </c>
      <c r="C237" s="11">
        <v>24.193750000000012</v>
      </c>
      <c r="D237" s="11">
        <v>-31.99999999999995</v>
      </c>
      <c r="E237" s="11">
        <v>247.5</v>
      </c>
      <c r="F237" s="11">
        <v>29.787500000000012</v>
      </c>
      <c r="G237" s="11">
        <v>-31.999999999999936</v>
      </c>
      <c r="J237" s="11">
        <v>235</v>
      </c>
      <c r="K237" s="11">
        <f t="shared" si="24"/>
        <v>238.875</v>
      </c>
      <c r="L237" s="11">
        <f t="shared" si="25"/>
        <v>31.99999999999995</v>
      </c>
      <c r="M237" s="11">
        <f t="shared" si="26"/>
        <v>24.193750000000012</v>
      </c>
      <c r="N237" s="11">
        <f t="shared" si="27"/>
        <v>247.5</v>
      </c>
      <c r="O237" s="11">
        <f t="shared" si="28"/>
        <v>31.999999999999936</v>
      </c>
      <c r="P237" s="11">
        <f t="shared" si="29"/>
        <v>29.787500000000012</v>
      </c>
    </row>
    <row r="238" spans="1:16">
      <c r="A238" s="11">
        <v>236</v>
      </c>
      <c r="B238" s="11">
        <v>230.25</v>
      </c>
      <c r="C238" s="11">
        <v>29.787500000000012</v>
      </c>
      <c r="D238" s="11">
        <v>-31.99999999999995</v>
      </c>
      <c r="E238" s="11">
        <v>238.875</v>
      </c>
      <c r="F238" s="11">
        <v>24.193750000000012</v>
      </c>
      <c r="G238" s="11">
        <v>-31.99999999999995</v>
      </c>
      <c r="J238" s="11">
        <v>236</v>
      </c>
      <c r="K238" s="11">
        <f t="shared" si="24"/>
        <v>230.25</v>
      </c>
      <c r="L238" s="11">
        <f t="shared" si="25"/>
        <v>31.99999999999995</v>
      </c>
      <c r="M238" s="11">
        <f t="shared" si="26"/>
        <v>29.787500000000012</v>
      </c>
      <c r="N238" s="11">
        <f t="shared" si="27"/>
        <v>238.875</v>
      </c>
      <c r="O238" s="11">
        <f t="shared" si="28"/>
        <v>31.99999999999995</v>
      </c>
      <c r="P238" s="11">
        <f t="shared" si="29"/>
        <v>24.193750000000012</v>
      </c>
    </row>
    <row r="239" spans="1:16">
      <c r="A239" s="11">
        <v>237</v>
      </c>
      <c r="B239" s="11">
        <v>14.625000000000004</v>
      </c>
      <c r="C239" s="11">
        <v>24.193750000000026</v>
      </c>
      <c r="D239" s="11">
        <v>0</v>
      </c>
      <c r="E239" s="11">
        <v>23.250000000000032</v>
      </c>
      <c r="F239" s="11">
        <v>29.787500000000026</v>
      </c>
      <c r="G239" s="11">
        <v>0</v>
      </c>
      <c r="J239" s="11">
        <v>237</v>
      </c>
      <c r="K239" s="11">
        <f t="shared" si="24"/>
        <v>14.625000000000004</v>
      </c>
      <c r="L239" s="11">
        <f t="shared" si="25"/>
        <v>0</v>
      </c>
      <c r="M239" s="11">
        <f t="shared" si="26"/>
        <v>24.193750000000026</v>
      </c>
      <c r="N239" s="11">
        <f t="shared" si="27"/>
        <v>23.250000000000032</v>
      </c>
      <c r="O239" s="11">
        <f t="shared" si="28"/>
        <v>0</v>
      </c>
      <c r="P239" s="11">
        <f t="shared" si="29"/>
        <v>29.787500000000026</v>
      </c>
    </row>
    <row r="240" spans="1:16">
      <c r="A240" s="11">
        <v>238</v>
      </c>
      <c r="B240" s="11">
        <v>6.0000000000000036</v>
      </c>
      <c r="C240" s="11">
        <v>29.787500000000026</v>
      </c>
      <c r="D240" s="11">
        <v>0</v>
      </c>
      <c r="E240" s="11">
        <v>14.625000000000004</v>
      </c>
      <c r="F240" s="11">
        <v>24.193750000000026</v>
      </c>
      <c r="G240" s="11">
        <v>0</v>
      </c>
      <c r="J240" s="11">
        <v>238</v>
      </c>
      <c r="K240" s="11">
        <f t="shared" si="24"/>
        <v>6.0000000000000036</v>
      </c>
      <c r="L240" s="11">
        <f t="shared" si="25"/>
        <v>0</v>
      </c>
      <c r="M240" s="11">
        <f t="shared" si="26"/>
        <v>29.787500000000026</v>
      </c>
      <c r="N240" s="11">
        <f t="shared" si="27"/>
        <v>14.625000000000004</v>
      </c>
      <c r="O240" s="11">
        <f t="shared" si="28"/>
        <v>0</v>
      </c>
      <c r="P240" s="11">
        <f t="shared" si="29"/>
        <v>24.193750000000026</v>
      </c>
    </row>
    <row r="241" spans="1:16">
      <c r="A241" s="11">
        <v>239</v>
      </c>
      <c r="B241" s="11">
        <v>49.125000000000028</v>
      </c>
      <c r="C241" s="11">
        <v>24.193750000000026</v>
      </c>
      <c r="D241" s="11">
        <v>0</v>
      </c>
      <c r="E241" s="11">
        <v>57.750000000000028</v>
      </c>
      <c r="F241" s="11">
        <v>29.787500000000026</v>
      </c>
      <c r="G241" s="11">
        <v>1.4210854715202004E-14</v>
      </c>
      <c r="J241" s="11">
        <v>239</v>
      </c>
      <c r="K241" s="11">
        <f t="shared" si="24"/>
        <v>49.125000000000028</v>
      </c>
      <c r="L241" s="11">
        <f t="shared" si="25"/>
        <v>0</v>
      </c>
      <c r="M241" s="11">
        <f t="shared" si="26"/>
        <v>24.193750000000026</v>
      </c>
      <c r="N241" s="11">
        <f t="shared" si="27"/>
        <v>57.750000000000028</v>
      </c>
      <c r="O241" s="11">
        <f t="shared" si="28"/>
        <v>-1.4210854715202004E-14</v>
      </c>
      <c r="P241" s="11">
        <f t="shared" si="29"/>
        <v>29.787500000000026</v>
      </c>
    </row>
    <row r="242" spans="1:16">
      <c r="A242" s="11">
        <v>240</v>
      </c>
      <c r="B242" s="11">
        <v>40.500000000000028</v>
      </c>
      <c r="C242" s="11">
        <v>29.787500000000026</v>
      </c>
      <c r="D242" s="11">
        <v>0</v>
      </c>
      <c r="E242" s="11">
        <v>49.125000000000028</v>
      </c>
      <c r="F242" s="11">
        <v>24.193750000000026</v>
      </c>
      <c r="G242" s="11">
        <v>0</v>
      </c>
      <c r="J242" s="11">
        <v>240</v>
      </c>
      <c r="K242" s="11">
        <f t="shared" si="24"/>
        <v>40.500000000000028</v>
      </c>
      <c r="L242" s="11">
        <f t="shared" si="25"/>
        <v>0</v>
      </c>
      <c r="M242" s="11">
        <f t="shared" si="26"/>
        <v>29.787500000000026</v>
      </c>
      <c r="N242" s="11">
        <f t="shared" si="27"/>
        <v>49.125000000000028</v>
      </c>
      <c r="O242" s="11">
        <f t="shared" si="28"/>
        <v>0</v>
      </c>
      <c r="P242" s="11">
        <f t="shared" si="29"/>
        <v>24.193750000000026</v>
      </c>
    </row>
    <row r="243" spans="1:16">
      <c r="A243" s="11">
        <v>241</v>
      </c>
      <c r="B243" s="11">
        <v>31.875000000000032</v>
      </c>
      <c r="C243" s="11">
        <v>24.193750000000026</v>
      </c>
      <c r="D243" s="11">
        <v>0</v>
      </c>
      <c r="E243" s="11">
        <v>40.500000000000028</v>
      </c>
      <c r="F243" s="11">
        <v>29.787500000000026</v>
      </c>
      <c r="G243" s="11">
        <v>0</v>
      </c>
      <c r="J243" s="11">
        <v>241</v>
      </c>
      <c r="K243" s="11">
        <f t="shared" si="24"/>
        <v>31.875000000000032</v>
      </c>
      <c r="L243" s="11">
        <f t="shared" si="25"/>
        <v>0</v>
      </c>
      <c r="M243" s="11">
        <f t="shared" si="26"/>
        <v>24.193750000000026</v>
      </c>
      <c r="N243" s="11">
        <f t="shared" si="27"/>
        <v>40.500000000000028</v>
      </c>
      <c r="O243" s="11">
        <f t="shared" si="28"/>
        <v>0</v>
      </c>
      <c r="P243" s="11">
        <f t="shared" si="29"/>
        <v>29.787500000000026</v>
      </c>
    </row>
    <row r="244" spans="1:16">
      <c r="A244" s="11">
        <v>242</v>
      </c>
      <c r="B244" s="11">
        <v>23.250000000000032</v>
      </c>
      <c r="C244" s="11">
        <v>29.787500000000026</v>
      </c>
      <c r="D244" s="11">
        <v>0</v>
      </c>
      <c r="E244" s="11">
        <v>31.875000000000032</v>
      </c>
      <c r="F244" s="11">
        <v>24.193750000000026</v>
      </c>
      <c r="G244" s="11">
        <v>0</v>
      </c>
      <c r="J244" s="11">
        <v>242</v>
      </c>
      <c r="K244" s="11">
        <f t="shared" si="24"/>
        <v>23.250000000000032</v>
      </c>
      <c r="L244" s="11">
        <f t="shared" si="25"/>
        <v>0</v>
      </c>
      <c r="M244" s="11">
        <f t="shared" si="26"/>
        <v>29.787500000000026</v>
      </c>
      <c r="N244" s="11">
        <f t="shared" si="27"/>
        <v>31.875000000000032</v>
      </c>
      <c r="O244" s="11">
        <f t="shared" si="28"/>
        <v>0</v>
      </c>
      <c r="P244" s="11">
        <f t="shared" si="29"/>
        <v>24.193750000000026</v>
      </c>
    </row>
    <row r="245" spans="1:16">
      <c r="A245" s="11">
        <v>243</v>
      </c>
      <c r="B245" s="11">
        <v>83.625000000000028</v>
      </c>
      <c r="C245" s="11">
        <v>24.193750000000012</v>
      </c>
      <c r="D245" s="11">
        <v>1.4210854715202004E-14</v>
      </c>
      <c r="E245" s="11">
        <v>92.250000000000014</v>
      </c>
      <c r="F245" s="11">
        <v>29.787500000000012</v>
      </c>
      <c r="G245" s="11">
        <v>1.4210854715202004E-14</v>
      </c>
      <c r="J245" s="11">
        <v>243</v>
      </c>
      <c r="K245" s="11">
        <f t="shared" si="24"/>
        <v>83.625000000000028</v>
      </c>
      <c r="L245" s="11">
        <f t="shared" si="25"/>
        <v>-1.4210854715202004E-14</v>
      </c>
      <c r="M245" s="11">
        <f t="shared" si="26"/>
        <v>24.193750000000012</v>
      </c>
      <c r="N245" s="11">
        <f t="shared" si="27"/>
        <v>92.250000000000014</v>
      </c>
      <c r="O245" s="11">
        <f t="shared" si="28"/>
        <v>-1.4210854715202004E-14</v>
      </c>
      <c r="P245" s="11">
        <f t="shared" si="29"/>
        <v>29.787500000000012</v>
      </c>
    </row>
    <row r="246" spans="1:16">
      <c r="A246" s="11">
        <v>244</v>
      </c>
      <c r="B246" s="11">
        <v>75.000000000000028</v>
      </c>
      <c r="C246" s="11">
        <v>29.787500000000012</v>
      </c>
      <c r="D246" s="11">
        <v>1.4210854715202004E-14</v>
      </c>
      <c r="E246" s="11">
        <v>83.625000000000028</v>
      </c>
      <c r="F246" s="11">
        <v>24.193750000000012</v>
      </c>
      <c r="G246" s="11">
        <v>1.4210854715202004E-14</v>
      </c>
      <c r="J246" s="11">
        <v>244</v>
      </c>
      <c r="K246" s="11">
        <f t="shared" si="24"/>
        <v>75.000000000000028</v>
      </c>
      <c r="L246" s="11">
        <f t="shared" si="25"/>
        <v>-1.4210854715202004E-14</v>
      </c>
      <c r="M246" s="11">
        <f t="shared" si="26"/>
        <v>29.787500000000012</v>
      </c>
      <c r="N246" s="11">
        <f t="shared" si="27"/>
        <v>83.625000000000028</v>
      </c>
      <c r="O246" s="11">
        <f t="shared" si="28"/>
        <v>-1.4210854715202004E-14</v>
      </c>
      <c r="P246" s="11">
        <f t="shared" si="29"/>
        <v>24.193750000000012</v>
      </c>
    </row>
    <row r="247" spans="1:16">
      <c r="A247" s="11">
        <v>245</v>
      </c>
      <c r="B247" s="11">
        <v>66.375000000000028</v>
      </c>
      <c r="C247" s="11">
        <v>24.193750000000026</v>
      </c>
      <c r="D247" s="11">
        <v>1.4210854715202004E-14</v>
      </c>
      <c r="E247" s="11">
        <v>75.000000000000028</v>
      </c>
      <c r="F247" s="11">
        <v>29.787500000000012</v>
      </c>
      <c r="G247" s="11">
        <v>1.4210854715202004E-14</v>
      </c>
      <c r="J247" s="11">
        <v>245</v>
      </c>
      <c r="K247" s="11">
        <f t="shared" si="24"/>
        <v>66.375000000000028</v>
      </c>
      <c r="L247" s="11">
        <f t="shared" si="25"/>
        <v>-1.4210854715202004E-14</v>
      </c>
      <c r="M247" s="11">
        <f t="shared" si="26"/>
        <v>24.193750000000026</v>
      </c>
      <c r="N247" s="11">
        <f t="shared" si="27"/>
        <v>75.000000000000028</v>
      </c>
      <c r="O247" s="11">
        <f t="shared" si="28"/>
        <v>-1.4210854715202004E-14</v>
      </c>
      <c r="P247" s="11">
        <f t="shared" si="29"/>
        <v>29.787500000000012</v>
      </c>
    </row>
    <row r="248" spans="1:16">
      <c r="A248" s="11">
        <v>246</v>
      </c>
      <c r="B248" s="11">
        <v>57.750000000000028</v>
      </c>
      <c r="C248" s="11">
        <v>29.787500000000026</v>
      </c>
      <c r="D248" s="11">
        <v>1.4210854715202004E-14</v>
      </c>
      <c r="E248" s="11">
        <v>66.375000000000028</v>
      </c>
      <c r="F248" s="11">
        <v>24.193750000000026</v>
      </c>
      <c r="G248" s="11">
        <v>1.4210854715202004E-14</v>
      </c>
      <c r="J248" s="11">
        <v>246</v>
      </c>
      <c r="K248" s="11">
        <f t="shared" si="24"/>
        <v>57.750000000000028</v>
      </c>
      <c r="L248" s="11">
        <f t="shared" si="25"/>
        <v>-1.4210854715202004E-14</v>
      </c>
      <c r="M248" s="11">
        <f t="shared" si="26"/>
        <v>29.787500000000026</v>
      </c>
      <c r="N248" s="11">
        <f t="shared" si="27"/>
        <v>66.375000000000028</v>
      </c>
      <c r="O248" s="11">
        <f t="shared" si="28"/>
        <v>-1.4210854715202004E-14</v>
      </c>
      <c r="P248" s="11">
        <f t="shared" si="29"/>
        <v>24.193750000000026</v>
      </c>
    </row>
    <row r="249" spans="1:16">
      <c r="A249" s="11">
        <v>247</v>
      </c>
      <c r="B249" s="11">
        <v>118.12500000000003</v>
      </c>
      <c r="C249" s="11">
        <v>24.193750000000012</v>
      </c>
      <c r="D249" s="11">
        <v>2.8421709430404007E-14</v>
      </c>
      <c r="E249" s="11">
        <v>126.75000000000003</v>
      </c>
      <c r="F249" s="11">
        <v>29.787500000000012</v>
      </c>
      <c r="G249" s="11">
        <v>2.8421709430404007E-14</v>
      </c>
      <c r="J249" s="11">
        <v>247</v>
      </c>
      <c r="K249" s="11">
        <f t="shared" si="24"/>
        <v>118.12500000000003</v>
      </c>
      <c r="L249" s="11">
        <f t="shared" si="25"/>
        <v>-2.8421709430404007E-14</v>
      </c>
      <c r="M249" s="11">
        <f t="shared" si="26"/>
        <v>24.193750000000012</v>
      </c>
      <c r="N249" s="11">
        <f t="shared" si="27"/>
        <v>126.75000000000003</v>
      </c>
      <c r="O249" s="11">
        <f t="shared" si="28"/>
        <v>-2.8421709430404007E-14</v>
      </c>
      <c r="P249" s="11">
        <f t="shared" si="29"/>
        <v>29.787500000000012</v>
      </c>
    </row>
    <row r="250" spans="1:16">
      <c r="A250" s="11">
        <v>248</v>
      </c>
      <c r="B250" s="11">
        <v>109.50000000000001</v>
      </c>
      <c r="C250" s="11">
        <v>29.787500000000012</v>
      </c>
      <c r="D250" s="11">
        <v>1.4210854715202004E-14</v>
      </c>
      <c r="E250" s="11">
        <v>118.12500000000003</v>
      </c>
      <c r="F250" s="11">
        <v>24.193750000000012</v>
      </c>
      <c r="G250" s="11">
        <v>2.8421709430404007E-14</v>
      </c>
      <c r="J250" s="11">
        <v>248</v>
      </c>
      <c r="K250" s="11">
        <f t="shared" si="24"/>
        <v>109.50000000000001</v>
      </c>
      <c r="L250" s="11">
        <f t="shared" si="25"/>
        <v>-1.4210854715202004E-14</v>
      </c>
      <c r="M250" s="11">
        <f t="shared" si="26"/>
        <v>29.787500000000012</v>
      </c>
      <c r="N250" s="11">
        <f t="shared" si="27"/>
        <v>118.12500000000003</v>
      </c>
      <c r="O250" s="11">
        <f t="shared" si="28"/>
        <v>-2.8421709430404007E-14</v>
      </c>
      <c r="P250" s="11">
        <f t="shared" si="29"/>
        <v>24.193750000000012</v>
      </c>
    </row>
    <row r="251" spans="1:16">
      <c r="A251" s="11">
        <v>249</v>
      </c>
      <c r="B251" s="11">
        <v>100.87500000000001</v>
      </c>
      <c r="C251" s="11">
        <v>24.193750000000012</v>
      </c>
      <c r="D251" s="11">
        <v>1.4210854715202004E-14</v>
      </c>
      <c r="E251" s="11">
        <v>109.50000000000001</v>
      </c>
      <c r="F251" s="11">
        <v>29.787500000000012</v>
      </c>
      <c r="G251" s="11">
        <v>1.4210854715202004E-14</v>
      </c>
      <c r="J251" s="11">
        <v>249</v>
      </c>
      <c r="K251" s="11">
        <f t="shared" si="24"/>
        <v>100.87500000000001</v>
      </c>
      <c r="L251" s="11">
        <f t="shared" si="25"/>
        <v>-1.4210854715202004E-14</v>
      </c>
      <c r="M251" s="11">
        <f t="shared" si="26"/>
        <v>24.193750000000012</v>
      </c>
      <c r="N251" s="11">
        <f t="shared" si="27"/>
        <v>109.50000000000001</v>
      </c>
      <c r="O251" s="11">
        <f t="shared" si="28"/>
        <v>-1.4210854715202004E-14</v>
      </c>
      <c r="P251" s="11">
        <f t="shared" si="29"/>
        <v>29.787500000000012</v>
      </c>
    </row>
    <row r="252" spans="1:16">
      <c r="A252" s="11">
        <v>250</v>
      </c>
      <c r="B252" s="11">
        <v>92.250000000000014</v>
      </c>
      <c r="C252" s="11">
        <v>29.787500000000012</v>
      </c>
      <c r="D252" s="11">
        <v>1.4210854715202004E-14</v>
      </c>
      <c r="E252" s="11">
        <v>100.87500000000001</v>
      </c>
      <c r="F252" s="11">
        <v>24.193750000000012</v>
      </c>
      <c r="G252" s="11">
        <v>1.4210854715202004E-14</v>
      </c>
      <c r="J252" s="11">
        <v>250</v>
      </c>
      <c r="K252" s="11">
        <f t="shared" si="24"/>
        <v>92.250000000000014</v>
      </c>
      <c r="L252" s="11">
        <f t="shared" si="25"/>
        <v>-1.4210854715202004E-14</v>
      </c>
      <c r="M252" s="11">
        <f t="shared" si="26"/>
        <v>29.787500000000012</v>
      </c>
      <c r="N252" s="11">
        <f t="shared" si="27"/>
        <v>100.87500000000001</v>
      </c>
      <c r="O252" s="11">
        <f t="shared" si="28"/>
        <v>-1.4210854715202004E-14</v>
      </c>
      <c r="P252" s="11">
        <f t="shared" si="29"/>
        <v>24.193750000000012</v>
      </c>
    </row>
    <row r="253" spans="1:16">
      <c r="A253" s="11">
        <v>251</v>
      </c>
      <c r="B253" s="11">
        <v>152.62500000000003</v>
      </c>
      <c r="C253" s="11">
        <v>24.193750000000012</v>
      </c>
      <c r="D253" s="11">
        <v>2.8421709430404007E-14</v>
      </c>
      <c r="E253" s="11">
        <v>161.25000000000003</v>
      </c>
      <c r="F253" s="11">
        <v>29.787500000000012</v>
      </c>
      <c r="G253" s="11">
        <v>2.8421709430404007E-14</v>
      </c>
      <c r="J253" s="11">
        <v>251</v>
      </c>
      <c r="K253" s="11">
        <f t="shared" si="24"/>
        <v>152.62500000000003</v>
      </c>
      <c r="L253" s="11">
        <f t="shared" si="25"/>
        <v>-2.8421709430404007E-14</v>
      </c>
      <c r="M253" s="11">
        <f t="shared" si="26"/>
        <v>24.193750000000012</v>
      </c>
      <c r="N253" s="11">
        <f t="shared" si="27"/>
        <v>161.25000000000003</v>
      </c>
      <c r="O253" s="11">
        <f t="shared" si="28"/>
        <v>-2.8421709430404007E-14</v>
      </c>
      <c r="P253" s="11">
        <f t="shared" si="29"/>
        <v>29.787500000000012</v>
      </c>
    </row>
    <row r="254" spans="1:16">
      <c r="A254" s="11">
        <v>252</v>
      </c>
      <c r="B254" s="11">
        <v>144.00000000000003</v>
      </c>
      <c r="C254" s="11">
        <v>29.787500000000012</v>
      </c>
      <c r="D254" s="11">
        <v>2.8421709430404007E-14</v>
      </c>
      <c r="E254" s="11">
        <v>152.62500000000003</v>
      </c>
      <c r="F254" s="11">
        <v>24.193750000000012</v>
      </c>
      <c r="G254" s="11">
        <v>2.8421709430404007E-14</v>
      </c>
      <c r="J254" s="11">
        <v>252</v>
      </c>
      <c r="K254" s="11">
        <f t="shared" si="24"/>
        <v>144.00000000000003</v>
      </c>
      <c r="L254" s="11">
        <f t="shared" si="25"/>
        <v>-2.8421709430404007E-14</v>
      </c>
      <c r="M254" s="11">
        <f t="shared" si="26"/>
        <v>29.787500000000012</v>
      </c>
      <c r="N254" s="11">
        <f t="shared" si="27"/>
        <v>152.62500000000003</v>
      </c>
      <c r="O254" s="11">
        <f t="shared" si="28"/>
        <v>-2.8421709430404007E-14</v>
      </c>
      <c r="P254" s="11">
        <f t="shared" si="29"/>
        <v>24.193750000000012</v>
      </c>
    </row>
    <row r="255" spans="1:16">
      <c r="A255" s="11">
        <v>253</v>
      </c>
      <c r="B255" s="11">
        <v>135.37500000000003</v>
      </c>
      <c r="C255" s="11">
        <v>24.193750000000012</v>
      </c>
      <c r="D255" s="11">
        <v>2.8421709430404007E-14</v>
      </c>
      <c r="E255" s="11">
        <v>144.00000000000003</v>
      </c>
      <c r="F255" s="11">
        <v>29.787500000000012</v>
      </c>
      <c r="G255" s="11">
        <v>2.8421709430404007E-14</v>
      </c>
      <c r="J255" s="11">
        <v>253</v>
      </c>
      <c r="K255" s="11">
        <f t="shared" si="24"/>
        <v>135.37500000000003</v>
      </c>
      <c r="L255" s="11">
        <f t="shared" si="25"/>
        <v>-2.8421709430404007E-14</v>
      </c>
      <c r="M255" s="11">
        <f t="shared" si="26"/>
        <v>24.193750000000012</v>
      </c>
      <c r="N255" s="11">
        <f t="shared" si="27"/>
        <v>144.00000000000003</v>
      </c>
      <c r="O255" s="11">
        <f t="shared" si="28"/>
        <v>-2.8421709430404007E-14</v>
      </c>
      <c r="P255" s="11">
        <f t="shared" si="29"/>
        <v>29.787500000000012</v>
      </c>
    </row>
    <row r="256" spans="1:16">
      <c r="A256" s="11">
        <v>254</v>
      </c>
      <c r="B256" s="11">
        <v>126.75000000000003</v>
      </c>
      <c r="C256" s="11">
        <v>29.787500000000012</v>
      </c>
      <c r="D256" s="11">
        <v>2.8421709430404007E-14</v>
      </c>
      <c r="E256" s="11">
        <v>135.37500000000003</v>
      </c>
      <c r="F256" s="11">
        <v>24.193750000000012</v>
      </c>
      <c r="G256" s="11">
        <v>2.8421709430404007E-14</v>
      </c>
      <c r="J256" s="11">
        <v>254</v>
      </c>
      <c r="K256" s="11">
        <f t="shared" si="24"/>
        <v>126.75000000000003</v>
      </c>
      <c r="L256" s="11">
        <f t="shared" si="25"/>
        <v>-2.8421709430404007E-14</v>
      </c>
      <c r="M256" s="11">
        <f t="shared" si="26"/>
        <v>29.787500000000012</v>
      </c>
      <c r="N256" s="11">
        <f t="shared" si="27"/>
        <v>135.37500000000003</v>
      </c>
      <c r="O256" s="11">
        <f t="shared" si="28"/>
        <v>-2.8421709430404007E-14</v>
      </c>
      <c r="P256" s="11">
        <f t="shared" si="29"/>
        <v>24.193750000000012</v>
      </c>
    </row>
    <row r="257" spans="1:16">
      <c r="A257" s="11">
        <v>255</v>
      </c>
      <c r="B257" s="11">
        <v>187.12500000000003</v>
      </c>
      <c r="C257" s="11">
        <v>24.193749999999998</v>
      </c>
      <c r="D257" s="11">
        <v>4.2632564145606011E-14</v>
      </c>
      <c r="E257" s="11">
        <v>195.75000000000003</v>
      </c>
      <c r="F257" s="11">
        <v>29.787499999999998</v>
      </c>
      <c r="G257" s="11">
        <v>4.2632564145606011E-14</v>
      </c>
      <c r="J257" s="11">
        <v>255</v>
      </c>
      <c r="K257" s="11">
        <f t="shared" si="24"/>
        <v>187.12500000000003</v>
      </c>
      <c r="L257" s="11">
        <f t="shared" si="25"/>
        <v>-4.2632564145606011E-14</v>
      </c>
      <c r="M257" s="11">
        <f t="shared" si="26"/>
        <v>24.193749999999998</v>
      </c>
      <c r="N257" s="11">
        <f t="shared" si="27"/>
        <v>195.75000000000003</v>
      </c>
      <c r="O257" s="11">
        <f t="shared" si="28"/>
        <v>-4.2632564145606011E-14</v>
      </c>
      <c r="P257" s="11">
        <f t="shared" si="29"/>
        <v>29.787499999999998</v>
      </c>
    </row>
    <row r="258" spans="1:16">
      <c r="A258" s="11">
        <v>256</v>
      </c>
      <c r="B258" s="11">
        <v>178.50000000000003</v>
      </c>
      <c r="C258" s="11">
        <v>29.787499999999998</v>
      </c>
      <c r="D258" s="11">
        <v>2.8421709430404007E-14</v>
      </c>
      <c r="E258" s="11">
        <v>187.12500000000003</v>
      </c>
      <c r="F258" s="11">
        <v>24.193749999999998</v>
      </c>
      <c r="G258" s="11">
        <v>4.2632564145606011E-14</v>
      </c>
      <c r="J258" s="11">
        <v>256</v>
      </c>
      <c r="K258" s="11">
        <f t="shared" si="24"/>
        <v>178.50000000000003</v>
      </c>
      <c r="L258" s="11">
        <f t="shared" si="25"/>
        <v>-2.8421709430404007E-14</v>
      </c>
      <c r="M258" s="11">
        <f t="shared" si="26"/>
        <v>29.787499999999998</v>
      </c>
      <c r="N258" s="11">
        <f t="shared" si="27"/>
        <v>187.12500000000003</v>
      </c>
      <c r="O258" s="11">
        <f t="shared" si="28"/>
        <v>-4.2632564145606011E-14</v>
      </c>
      <c r="P258" s="11">
        <f t="shared" si="29"/>
        <v>24.193749999999998</v>
      </c>
    </row>
    <row r="259" spans="1:16">
      <c r="A259" s="11">
        <v>257</v>
      </c>
      <c r="B259" s="11">
        <v>169.87500000000003</v>
      </c>
      <c r="C259" s="11">
        <v>24.193749999999998</v>
      </c>
      <c r="D259" s="11">
        <v>2.8421709430404007E-14</v>
      </c>
      <c r="E259" s="11">
        <v>178.50000000000003</v>
      </c>
      <c r="F259" s="11">
        <v>29.787499999999998</v>
      </c>
      <c r="G259" s="11">
        <v>2.8421709430404007E-14</v>
      </c>
      <c r="J259" s="11">
        <v>257</v>
      </c>
      <c r="K259" s="11">
        <f t="shared" si="24"/>
        <v>169.87500000000003</v>
      </c>
      <c r="L259" s="11">
        <f t="shared" si="25"/>
        <v>-2.8421709430404007E-14</v>
      </c>
      <c r="M259" s="11">
        <f t="shared" si="26"/>
        <v>24.193749999999998</v>
      </c>
      <c r="N259" s="11">
        <f t="shared" si="27"/>
        <v>178.50000000000003</v>
      </c>
      <c r="O259" s="11">
        <f t="shared" si="28"/>
        <v>-2.8421709430404007E-14</v>
      </c>
      <c r="P259" s="11">
        <f t="shared" si="29"/>
        <v>29.787499999999998</v>
      </c>
    </row>
    <row r="260" spans="1:16">
      <c r="A260" s="11">
        <v>258</v>
      </c>
      <c r="B260" s="11">
        <v>161.25000000000003</v>
      </c>
      <c r="C260" s="11">
        <v>29.787500000000012</v>
      </c>
      <c r="D260" s="11">
        <v>2.8421709430404007E-14</v>
      </c>
      <c r="E260" s="11">
        <v>169.87500000000003</v>
      </c>
      <c r="F260" s="11">
        <v>24.193749999999998</v>
      </c>
      <c r="G260" s="11">
        <v>2.8421709430404007E-14</v>
      </c>
      <c r="J260" s="11">
        <v>258</v>
      </c>
      <c r="K260" s="11">
        <f t="shared" ref="K260:K323" si="30">$Y$11*B260+$Z$11*C260+$AA$11*D260</f>
        <v>161.25000000000003</v>
      </c>
      <c r="L260" s="11">
        <f t="shared" ref="L260:L323" si="31">$Y$12*B260+$Z$12*C260+$AA$12*D260</f>
        <v>-2.8421709430404007E-14</v>
      </c>
      <c r="M260" s="11">
        <f t="shared" ref="M260:M323" si="32">$Y$13*B260+$Z$13*C260+$AA$13*D260</f>
        <v>29.787500000000012</v>
      </c>
      <c r="N260" s="11">
        <f t="shared" ref="N260:N323" si="33">$Y$11*E260+$Z$11*F260+$AA$11*G260</f>
        <v>169.87500000000003</v>
      </c>
      <c r="O260" s="11">
        <f t="shared" ref="O260:O323" si="34">$Y$12*E260+$Z$12*F260+$AA$12*G260</f>
        <v>-2.8421709430404007E-14</v>
      </c>
      <c r="P260" s="11">
        <f t="shared" ref="P260:P323" si="35">$Y$13*E260+$Z$13*F260+$AA$13*G260</f>
        <v>24.193749999999998</v>
      </c>
    </row>
    <row r="261" spans="1:16">
      <c r="A261" s="11">
        <v>259</v>
      </c>
      <c r="B261" s="11">
        <v>221.62500000000003</v>
      </c>
      <c r="C261" s="11">
        <v>24.193749999999998</v>
      </c>
      <c r="D261" s="11">
        <v>4.2632564145606011E-14</v>
      </c>
      <c r="E261" s="11">
        <v>230.25000000000006</v>
      </c>
      <c r="F261" s="11">
        <v>29.787499999999998</v>
      </c>
      <c r="G261" s="11">
        <v>4.2632564145606011E-14</v>
      </c>
      <c r="J261" s="11">
        <v>259</v>
      </c>
      <c r="K261" s="11">
        <f t="shared" si="30"/>
        <v>221.62500000000003</v>
      </c>
      <c r="L261" s="11">
        <f t="shared" si="31"/>
        <v>-4.2632564145606011E-14</v>
      </c>
      <c r="M261" s="11">
        <f t="shared" si="32"/>
        <v>24.193749999999998</v>
      </c>
      <c r="N261" s="11">
        <f t="shared" si="33"/>
        <v>230.25000000000006</v>
      </c>
      <c r="O261" s="11">
        <f t="shared" si="34"/>
        <v>-4.2632564145606011E-14</v>
      </c>
      <c r="P261" s="11">
        <f t="shared" si="35"/>
        <v>29.787499999999998</v>
      </c>
    </row>
    <row r="262" spans="1:16">
      <c r="A262" s="11">
        <v>260</v>
      </c>
      <c r="B262" s="11">
        <v>213.00000000000003</v>
      </c>
      <c r="C262" s="11">
        <v>29.787499999999998</v>
      </c>
      <c r="D262" s="11">
        <v>4.2632564145606011E-14</v>
      </c>
      <c r="E262" s="11">
        <v>221.62500000000003</v>
      </c>
      <c r="F262" s="11">
        <v>24.193749999999998</v>
      </c>
      <c r="G262" s="11">
        <v>4.2632564145606011E-14</v>
      </c>
      <c r="J262" s="11">
        <v>260</v>
      </c>
      <c r="K262" s="11">
        <f t="shared" si="30"/>
        <v>213.00000000000003</v>
      </c>
      <c r="L262" s="11">
        <f t="shared" si="31"/>
        <v>-4.2632564145606011E-14</v>
      </c>
      <c r="M262" s="11">
        <f t="shared" si="32"/>
        <v>29.787499999999998</v>
      </c>
      <c r="N262" s="11">
        <f t="shared" si="33"/>
        <v>221.62500000000003</v>
      </c>
      <c r="O262" s="11">
        <f t="shared" si="34"/>
        <v>-4.2632564145606011E-14</v>
      </c>
      <c r="P262" s="11">
        <f t="shared" si="35"/>
        <v>24.193749999999998</v>
      </c>
    </row>
    <row r="263" spans="1:16">
      <c r="A263" s="11">
        <v>261</v>
      </c>
      <c r="B263" s="11">
        <v>204.37500000000003</v>
      </c>
      <c r="C263" s="11">
        <v>24.193749999999998</v>
      </c>
      <c r="D263" s="11">
        <v>4.2632564145606011E-14</v>
      </c>
      <c r="E263" s="11">
        <v>213.00000000000003</v>
      </c>
      <c r="F263" s="11">
        <v>29.787499999999998</v>
      </c>
      <c r="G263" s="11">
        <v>4.2632564145606011E-14</v>
      </c>
      <c r="J263" s="11">
        <v>261</v>
      </c>
      <c r="K263" s="11">
        <f t="shared" si="30"/>
        <v>204.37500000000003</v>
      </c>
      <c r="L263" s="11">
        <f t="shared" si="31"/>
        <v>-4.2632564145606011E-14</v>
      </c>
      <c r="M263" s="11">
        <f t="shared" si="32"/>
        <v>24.193749999999998</v>
      </c>
      <c r="N263" s="11">
        <f t="shared" si="33"/>
        <v>213.00000000000003</v>
      </c>
      <c r="O263" s="11">
        <f t="shared" si="34"/>
        <v>-4.2632564145606011E-14</v>
      </c>
      <c r="P263" s="11">
        <f t="shared" si="35"/>
        <v>29.787499999999998</v>
      </c>
    </row>
    <row r="264" spans="1:16">
      <c r="A264" s="11">
        <v>262</v>
      </c>
      <c r="B264" s="11">
        <v>195.75000000000003</v>
      </c>
      <c r="C264" s="11">
        <v>29.787499999999998</v>
      </c>
      <c r="D264" s="11">
        <v>4.2632564145606011E-14</v>
      </c>
      <c r="E264" s="11">
        <v>204.37500000000003</v>
      </c>
      <c r="F264" s="11">
        <v>24.193749999999998</v>
      </c>
      <c r="G264" s="11">
        <v>4.2632564145606011E-14</v>
      </c>
      <c r="J264" s="11">
        <v>262</v>
      </c>
      <c r="K264" s="11">
        <f t="shared" si="30"/>
        <v>195.75000000000003</v>
      </c>
      <c r="L264" s="11">
        <f t="shared" si="31"/>
        <v>-4.2632564145606011E-14</v>
      </c>
      <c r="M264" s="11">
        <f t="shared" si="32"/>
        <v>29.787499999999998</v>
      </c>
      <c r="N264" s="11">
        <f t="shared" si="33"/>
        <v>204.37500000000003</v>
      </c>
      <c r="O264" s="11">
        <f t="shared" si="34"/>
        <v>-4.2632564145606011E-14</v>
      </c>
      <c r="P264" s="11">
        <f t="shared" si="35"/>
        <v>24.193749999999998</v>
      </c>
    </row>
    <row r="265" spans="1:16">
      <c r="A265" s="11">
        <v>263</v>
      </c>
      <c r="B265" s="11">
        <v>238.87500000000006</v>
      </c>
      <c r="C265" s="11">
        <v>24.193749999999998</v>
      </c>
      <c r="D265" s="11">
        <v>4.2632564145606011E-14</v>
      </c>
      <c r="E265" s="11">
        <v>247.50000000000006</v>
      </c>
      <c r="F265" s="11">
        <v>29.787499999999998</v>
      </c>
      <c r="G265" s="11">
        <v>5.6843418860808015E-14</v>
      </c>
      <c r="J265" s="11">
        <v>263</v>
      </c>
      <c r="K265" s="11">
        <f t="shared" si="30"/>
        <v>238.87500000000006</v>
      </c>
      <c r="L265" s="11">
        <f t="shared" si="31"/>
        <v>-4.2632564145606011E-14</v>
      </c>
      <c r="M265" s="11">
        <f t="shared" si="32"/>
        <v>24.193749999999998</v>
      </c>
      <c r="N265" s="11">
        <f t="shared" si="33"/>
        <v>247.50000000000006</v>
      </c>
      <c r="O265" s="11">
        <f t="shared" si="34"/>
        <v>-5.6843418860808015E-14</v>
      </c>
      <c r="P265" s="11">
        <f t="shared" si="35"/>
        <v>29.787499999999998</v>
      </c>
    </row>
    <row r="266" spans="1:16">
      <c r="A266" s="11">
        <v>264</v>
      </c>
      <c r="B266" s="11">
        <v>230.25000000000006</v>
      </c>
      <c r="C266" s="11">
        <v>29.787499999999998</v>
      </c>
      <c r="D266" s="11">
        <v>4.2632564145606011E-14</v>
      </c>
      <c r="E266" s="11">
        <v>238.87500000000006</v>
      </c>
      <c r="F266" s="11">
        <v>24.193749999999998</v>
      </c>
      <c r="G266" s="11">
        <v>4.2632564145606011E-14</v>
      </c>
      <c r="J266" s="11">
        <v>264</v>
      </c>
      <c r="K266" s="11">
        <f t="shared" si="30"/>
        <v>230.25000000000006</v>
      </c>
      <c r="L266" s="11">
        <f t="shared" si="31"/>
        <v>-4.2632564145606011E-14</v>
      </c>
      <c r="M266" s="11">
        <f t="shared" si="32"/>
        <v>29.787499999999998</v>
      </c>
      <c r="N266" s="11">
        <f t="shared" si="33"/>
        <v>238.87500000000006</v>
      </c>
      <c r="O266" s="11">
        <f t="shared" si="34"/>
        <v>-4.2632564145606011E-14</v>
      </c>
      <c r="P266" s="11">
        <f t="shared" si="35"/>
        <v>24.193749999999998</v>
      </c>
    </row>
    <row r="267" spans="1:16">
      <c r="A267" s="11">
        <v>265</v>
      </c>
      <c r="B267" s="11">
        <v>83.625000000000028</v>
      </c>
      <c r="C267" s="11">
        <v>25.592187500000321</v>
      </c>
      <c r="D267" s="11">
        <v>2.4221648012098029</v>
      </c>
      <c r="E267" s="11">
        <v>83.624999999999943</v>
      </c>
      <c r="F267" s="11">
        <v>24.193750000000026</v>
      </c>
      <c r="G267" s="11">
        <v>9.9475983006414026E-14</v>
      </c>
      <c r="J267" s="11">
        <v>265</v>
      </c>
      <c r="K267" s="11">
        <f t="shared" si="30"/>
        <v>83.625000000000028</v>
      </c>
      <c r="L267" s="11">
        <f t="shared" si="31"/>
        <v>-2.4221648012098029</v>
      </c>
      <c r="M267" s="11">
        <f t="shared" si="32"/>
        <v>25.592187500000321</v>
      </c>
      <c r="N267" s="11">
        <f t="shared" si="33"/>
        <v>83.624999999999943</v>
      </c>
      <c r="O267" s="11">
        <f t="shared" si="34"/>
        <v>-9.9475983006414026E-14</v>
      </c>
      <c r="P267" s="11">
        <f t="shared" si="35"/>
        <v>24.193750000000026</v>
      </c>
    </row>
    <row r="268" spans="1:16">
      <c r="A268" s="11">
        <v>266</v>
      </c>
      <c r="B268" s="11">
        <v>83.624999999999972</v>
      </c>
      <c r="C268" s="11">
        <v>29.787500000000176</v>
      </c>
      <c r="D268" s="11">
        <v>-2.4868995751603507E-14</v>
      </c>
      <c r="E268" s="11">
        <v>83.625000000000028</v>
      </c>
      <c r="F268" s="11">
        <v>25.592187500000321</v>
      </c>
      <c r="G268" s="11">
        <v>2.4221648012098029</v>
      </c>
      <c r="J268" s="11">
        <v>266</v>
      </c>
      <c r="K268" s="11">
        <f t="shared" si="30"/>
        <v>83.624999999999972</v>
      </c>
      <c r="L268" s="11">
        <f t="shared" si="31"/>
        <v>2.4868995751603507E-14</v>
      </c>
      <c r="M268" s="11">
        <f t="shared" si="32"/>
        <v>29.787500000000176</v>
      </c>
      <c r="N268" s="11">
        <f t="shared" si="33"/>
        <v>83.625000000000028</v>
      </c>
      <c r="O268" s="11">
        <f t="shared" si="34"/>
        <v>-2.4221648012098029</v>
      </c>
      <c r="P268" s="11">
        <f t="shared" si="35"/>
        <v>25.592187500000321</v>
      </c>
    </row>
    <row r="269" spans="1:16">
      <c r="A269" s="11">
        <v>267</v>
      </c>
      <c r="B269" s="11">
        <v>100.875</v>
      </c>
      <c r="C269" s="11">
        <v>25.592187500000321</v>
      </c>
      <c r="D269" s="11">
        <v>2.4221648012098314</v>
      </c>
      <c r="E269" s="11">
        <v>100.87499999999991</v>
      </c>
      <c r="F269" s="11">
        <v>24.193750000000026</v>
      </c>
      <c r="G269" s="11">
        <v>1.2789769243681803E-13</v>
      </c>
      <c r="J269" s="11">
        <v>267</v>
      </c>
      <c r="K269" s="11">
        <f t="shared" si="30"/>
        <v>100.875</v>
      </c>
      <c r="L269" s="11">
        <f t="shared" si="31"/>
        <v>-2.4221648012098314</v>
      </c>
      <c r="M269" s="11">
        <f t="shared" si="32"/>
        <v>25.592187500000321</v>
      </c>
      <c r="N269" s="11">
        <f t="shared" si="33"/>
        <v>100.87499999999991</v>
      </c>
      <c r="O269" s="11">
        <f t="shared" si="34"/>
        <v>-1.2789769243681803E-13</v>
      </c>
      <c r="P269" s="11">
        <f t="shared" si="35"/>
        <v>24.193750000000026</v>
      </c>
    </row>
    <row r="270" spans="1:16">
      <c r="A270" s="11">
        <v>268</v>
      </c>
      <c r="B270" s="11">
        <v>100.87499999999994</v>
      </c>
      <c r="C270" s="11">
        <v>29.787500000000176</v>
      </c>
      <c r="D270" s="11">
        <v>0</v>
      </c>
      <c r="E270" s="11">
        <v>100.875</v>
      </c>
      <c r="F270" s="11">
        <v>25.592187500000321</v>
      </c>
      <c r="G270" s="11">
        <v>2.4221648012098314</v>
      </c>
      <c r="J270" s="11">
        <v>268</v>
      </c>
      <c r="K270" s="11">
        <f t="shared" si="30"/>
        <v>100.87499999999994</v>
      </c>
      <c r="L270" s="11">
        <f t="shared" si="31"/>
        <v>0</v>
      </c>
      <c r="M270" s="11">
        <f t="shared" si="32"/>
        <v>29.787500000000176</v>
      </c>
      <c r="N270" s="11">
        <f t="shared" si="33"/>
        <v>100.875</v>
      </c>
      <c r="O270" s="11">
        <f t="shared" si="34"/>
        <v>-2.4221648012098314</v>
      </c>
      <c r="P270" s="11">
        <f t="shared" si="35"/>
        <v>25.592187500000321</v>
      </c>
    </row>
    <row r="271" spans="1:16">
      <c r="A271" s="11">
        <v>269</v>
      </c>
      <c r="B271" s="11">
        <v>118.12500000000003</v>
      </c>
      <c r="C271" s="11">
        <v>25.592187500000321</v>
      </c>
      <c r="D271" s="11">
        <v>2.4221648012098456</v>
      </c>
      <c r="E271" s="11">
        <v>118.12499999999994</v>
      </c>
      <c r="F271" s="11">
        <v>24.193750000000026</v>
      </c>
      <c r="G271" s="11">
        <v>1.4210854715202004E-13</v>
      </c>
      <c r="J271" s="11">
        <v>269</v>
      </c>
      <c r="K271" s="11">
        <f t="shared" si="30"/>
        <v>118.12500000000003</v>
      </c>
      <c r="L271" s="11">
        <f t="shared" si="31"/>
        <v>-2.4221648012098456</v>
      </c>
      <c r="M271" s="11">
        <f t="shared" si="32"/>
        <v>25.592187500000321</v>
      </c>
      <c r="N271" s="11">
        <f t="shared" si="33"/>
        <v>118.12499999999994</v>
      </c>
      <c r="O271" s="11">
        <f t="shared" si="34"/>
        <v>-1.4210854715202004E-13</v>
      </c>
      <c r="P271" s="11">
        <f t="shared" si="35"/>
        <v>24.193750000000026</v>
      </c>
    </row>
    <row r="272" spans="1:16">
      <c r="A272" s="11">
        <v>270</v>
      </c>
      <c r="B272" s="11">
        <v>118.12499999999997</v>
      </c>
      <c r="C272" s="11">
        <v>29.787500000000176</v>
      </c>
      <c r="D272" s="11">
        <v>1.4210854715202004E-14</v>
      </c>
      <c r="E272" s="11">
        <v>118.12500000000003</v>
      </c>
      <c r="F272" s="11">
        <v>25.592187500000321</v>
      </c>
      <c r="G272" s="11">
        <v>2.4221648012098456</v>
      </c>
      <c r="J272" s="11">
        <v>270</v>
      </c>
      <c r="K272" s="11">
        <f t="shared" si="30"/>
        <v>118.12499999999997</v>
      </c>
      <c r="L272" s="11">
        <f t="shared" si="31"/>
        <v>-1.4210854715202004E-14</v>
      </c>
      <c r="M272" s="11">
        <f t="shared" si="32"/>
        <v>29.787500000000176</v>
      </c>
      <c r="N272" s="11">
        <f t="shared" si="33"/>
        <v>118.12500000000003</v>
      </c>
      <c r="O272" s="11">
        <f t="shared" si="34"/>
        <v>-2.4221648012098456</v>
      </c>
      <c r="P272" s="11">
        <f t="shared" si="35"/>
        <v>25.592187500000321</v>
      </c>
    </row>
    <row r="273" spans="1:16">
      <c r="A273" s="11">
        <v>271</v>
      </c>
      <c r="B273" s="11">
        <v>135.37500000000003</v>
      </c>
      <c r="C273" s="11">
        <v>25.592187500000321</v>
      </c>
      <c r="D273" s="11">
        <v>2.422164801209874</v>
      </c>
      <c r="E273" s="11">
        <v>135.37499999999994</v>
      </c>
      <c r="F273" s="11">
        <v>24.193750000000026</v>
      </c>
      <c r="G273" s="11">
        <v>1.7053025658242404E-13</v>
      </c>
      <c r="J273" s="11">
        <v>271</v>
      </c>
      <c r="K273" s="11">
        <f t="shared" si="30"/>
        <v>135.37500000000003</v>
      </c>
      <c r="L273" s="11">
        <f t="shared" si="31"/>
        <v>-2.422164801209874</v>
      </c>
      <c r="M273" s="11">
        <f t="shared" si="32"/>
        <v>25.592187500000321</v>
      </c>
      <c r="N273" s="11">
        <f t="shared" si="33"/>
        <v>135.37499999999994</v>
      </c>
      <c r="O273" s="11">
        <f t="shared" si="34"/>
        <v>-1.7053025658242404E-13</v>
      </c>
      <c r="P273" s="11">
        <f t="shared" si="35"/>
        <v>24.193750000000026</v>
      </c>
    </row>
    <row r="274" spans="1:16">
      <c r="A274" s="11">
        <v>272</v>
      </c>
      <c r="B274" s="11">
        <v>135.37499999999997</v>
      </c>
      <c r="C274" s="11">
        <v>29.787500000000176</v>
      </c>
      <c r="D274" s="11">
        <v>4.2632564145606011E-14</v>
      </c>
      <c r="E274" s="11">
        <v>135.37500000000003</v>
      </c>
      <c r="F274" s="11">
        <v>25.592187500000321</v>
      </c>
      <c r="G274" s="11">
        <v>2.422164801209874</v>
      </c>
      <c r="J274" s="11">
        <v>272</v>
      </c>
      <c r="K274" s="11">
        <f t="shared" si="30"/>
        <v>135.37499999999997</v>
      </c>
      <c r="L274" s="11">
        <f t="shared" si="31"/>
        <v>-4.2632564145606011E-14</v>
      </c>
      <c r="M274" s="11">
        <f t="shared" si="32"/>
        <v>29.787500000000176</v>
      </c>
      <c r="N274" s="11">
        <f t="shared" si="33"/>
        <v>135.37500000000003</v>
      </c>
      <c r="O274" s="11">
        <f t="shared" si="34"/>
        <v>-2.422164801209874</v>
      </c>
      <c r="P274" s="11">
        <f t="shared" si="35"/>
        <v>25.592187500000321</v>
      </c>
    </row>
    <row r="275" spans="1:16">
      <c r="A275" s="11">
        <v>273</v>
      </c>
      <c r="B275" s="11">
        <v>152.62500000000003</v>
      </c>
      <c r="C275" s="11">
        <v>25.592187500000321</v>
      </c>
      <c r="D275" s="11">
        <v>2.4221648012099024</v>
      </c>
      <c r="E275" s="11">
        <v>152.62499999999994</v>
      </c>
      <c r="F275" s="11">
        <v>24.193750000000026</v>
      </c>
      <c r="G275" s="11">
        <v>1.9895196601282805E-13</v>
      </c>
      <c r="J275" s="11">
        <v>273</v>
      </c>
      <c r="K275" s="11">
        <f t="shared" si="30"/>
        <v>152.62500000000003</v>
      </c>
      <c r="L275" s="11">
        <f t="shared" si="31"/>
        <v>-2.4221648012099024</v>
      </c>
      <c r="M275" s="11">
        <f t="shared" si="32"/>
        <v>25.592187500000321</v>
      </c>
      <c r="N275" s="11">
        <f t="shared" si="33"/>
        <v>152.62499999999994</v>
      </c>
      <c r="O275" s="11">
        <f t="shared" si="34"/>
        <v>-1.9895196601282805E-13</v>
      </c>
      <c r="P275" s="11">
        <f t="shared" si="35"/>
        <v>24.193750000000026</v>
      </c>
    </row>
    <row r="276" spans="1:16">
      <c r="A276" s="11">
        <v>274</v>
      </c>
      <c r="B276" s="11">
        <v>152.62499999999997</v>
      </c>
      <c r="C276" s="11">
        <v>29.787500000000176</v>
      </c>
      <c r="D276" s="11">
        <v>7.1054273576010019E-14</v>
      </c>
      <c r="E276" s="11">
        <v>152.62500000000003</v>
      </c>
      <c r="F276" s="11">
        <v>25.592187500000321</v>
      </c>
      <c r="G276" s="11">
        <v>2.4221648012099024</v>
      </c>
      <c r="J276" s="11">
        <v>274</v>
      </c>
      <c r="K276" s="11">
        <f t="shared" si="30"/>
        <v>152.62499999999997</v>
      </c>
      <c r="L276" s="11">
        <f t="shared" si="31"/>
        <v>-7.1054273576010019E-14</v>
      </c>
      <c r="M276" s="11">
        <f t="shared" si="32"/>
        <v>29.787500000000176</v>
      </c>
      <c r="N276" s="11">
        <f t="shared" si="33"/>
        <v>152.62500000000003</v>
      </c>
      <c r="O276" s="11">
        <f t="shared" si="34"/>
        <v>-2.4221648012099024</v>
      </c>
      <c r="P276" s="11">
        <f t="shared" si="35"/>
        <v>25.592187500000321</v>
      </c>
    </row>
    <row r="277" spans="1:16">
      <c r="A277" s="11">
        <v>275</v>
      </c>
      <c r="B277" s="11">
        <v>169.87500000000003</v>
      </c>
      <c r="C277" s="11">
        <v>25.592187500000307</v>
      </c>
      <c r="D277" s="11">
        <v>2.4221648012099308</v>
      </c>
      <c r="E277" s="11">
        <v>169.87499999999994</v>
      </c>
      <c r="F277" s="11">
        <v>24.193750000000012</v>
      </c>
      <c r="G277" s="11">
        <v>2.2737367544323206E-13</v>
      </c>
      <c r="J277" s="11">
        <v>275</v>
      </c>
      <c r="K277" s="11">
        <f t="shared" si="30"/>
        <v>169.87500000000003</v>
      </c>
      <c r="L277" s="11">
        <f t="shared" si="31"/>
        <v>-2.4221648012099308</v>
      </c>
      <c r="M277" s="11">
        <f t="shared" si="32"/>
        <v>25.592187500000307</v>
      </c>
      <c r="N277" s="11">
        <f t="shared" si="33"/>
        <v>169.87499999999994</v>
      </c>
      <c r="O277" s="11">
        <f t="shared" si="34"/>
        <v>-2.2737367544323206E-13</v>
      </c>
      <c r="P277" s="11">
        <f t="shared" si="35"/>
        <v>24.193750000000012</v>
      </c>
    </row>
    <row r="278" spans="1:16">
      <c r="A278" s="11">
        <v>276</v>
      </c>
      <c r="B278" s="11">
        <v>169.87499999999997</v>
      </c>
      <c r="C278" s="11">
        <v>29.787500000000161</v>
      </c>
      <c r="D278" s="11">
        <v>9.9475983006414026E-14</v>
      </c>
      <c r="E278" s="11">
        <v>169.87500000000003</v>
      </c>
      <c r="F278" s="11">
        <v>25.592187500000307</v>
      </c>
      <c r="G278" s="11">
        <v>2.4221648012099308</v>
      </c>
      <c r="J278" s="11">
        <v>276</v>
      </c>
      <c r="K278" s="11">
        <f t="shared" si="30"/>
        <v>169.87499999999997</v>
      </c>
      <c r="L278" s="11">
        <f t="shared" si="31"/>
        <v>-9.9475983006414026E-14</v>
      </c>
      <c r="M278" s="11">
        <f t="shared" si="32"/>
        <v>29.787500000000161</v>
      </c>
      <c r="N278" s="11">
        <f t="shared" si="33"/>
        <v>169.87500000000003</v>
      </c>
      <c r="O278" s="11">
        <f t="shared" si="34"/>
        <v>-2.4221648012099308</v>
      </c>
      <c r="P278" s="11">
        <f t="shared" si="35"/>
        <v>25.592187500000307</v>
      </c>
    </row>
    <row r="279" spans="1:16">
      <c r="A279" s="11">
        <v>277</v>
      </c>
      <c r="B279" s="11">
        <v>14.624999999999941</v>
      </c>
      <c r="C279" s="11">
        <v>25.592187500000335</v>
      </c>
      <c r="D279" s="11">
        <v>2.4221648012097177</v>
      </c>
      <c r="E279" s="11">
        <v>14.624999999999917</v>
      </c>
      <c r="F279" s="11">
        <v>24.193750000000041</v>
      </c>
      <c r="G279" s="11">
        <v>2.1316282072803006E-14</v>
      </c>
      <c r="J279" s="11">
        <v>277</v>
      </c>
      <c r="K279" s="11">
        <f t="shared" si="30"/>
        <v>14.624999999999941</v>
      </c>
      <c r="L279" s="11">
        <f t="shared" si="31"/>
        <v>-2.4221648012097177</v>
      </c>
      <c r="M279" s="11">
        <f t="shared" si="32"/>
        <v>25.592187500000335</v>
      </c>
      <c r="N279" s="11">
        <f t="shared" si="33"/>
        <v>14.624999999999917</v>
      </c>
      <c r="O279" s="11">
        <f t="shared" si="34"/>
        <v>-2.1316282072803006E-14</v>
      </c>
      <c r="P279" s="11">
        <f t="shared" si="35"/>
        <v>24.193750000000041</v>
      </c>
    </row>
    <row r="280" spans="1:16">
      <c r="A280" s="11">
        <v>278</v>
      </c>
      <c r="B280" s="11">
        <v>14.624999999999945</v>
      </c>
      <c r="C280" s="11">
        <v>29.78750000000019</v>
      </c>
      <c r="D280" s="11">
        <v>-1.1013412404281553E-13</v>
      </c>
      <c r="E280" s="11">
        <v>14.624999999999941</v>
      </c>
      <c r="F280" s="11">
        <v>25.592187500000335</v>
      </c>
      <c r="G280" s="11">
        <v>2.4221648012097177</v>
      </c>
      <c r="J280" s="11">
        <v>278</v>
      </c>
      <c r="K280" s="11">
        <f t="shared" si="30"/>
        <v>14.624999999999945</v>
      </c>
      <c r="L280" s="11">
        <f t="shared" si="31"/>
        <v>1.1013412404281553E-13</v>
      </c>
      <c r="M280" s="11">
        <f t="shared" si="32"/>
        <v>29.78750000000019</v>
      </c>
      <c r="N280" s="11">
        <f t="shared" si="33"/>
        <v>14.624999999999941</v>
      </c>
      <c r="O280" s="11">
        <f t="shared" si="34"/>
        <v>-2.4221648012097177</v>
      </c>
      <c r="P280" s="11">
        <f t="shared" si="35"/>
        <v>25.592187500000335</v>
      </c>
    </row>
    <row r="281" spans="1:16">
      <c r="A281" s="11">
        <v>279</v>
      </c>
      <c r="B281" s="11">
        <v>31.874999999999943</v>
      </c>
      <c r="C281" s="11">
        <v>25.592187500000335</v>
      </c>
      <c r="D281" s="11">
        <v>2.4221648012097461</v>
      </c>
      <c r="E281" s="11">
        <v>31.874999999999915</v>
      </c>
      <c r="F281" s="11">
        <v>24.193750000000041</v>
      </c>
      <c r="G281" s="11">
        <v>4.9737991503207013E-14</v>
      </c>
      <c r="J281" s="11">
        <v>279</v>
      </c>
      <c r="K281" s="11">
        <f t="shared" si="30"/>
        <v>31.874999999999943</v>
      </c>
      <c r="L281" s="11">
        <f t="shared" si="31"/>
        <v>-2.4221648012097461</v>
      </c>
      <c r="M281" s="11">
        <f t="shared" si="32"/>
        <v>25.592187500000335</v>
      </c>
      <c r="N281" s="11">
        <f t="shared" si="33"/>
        <v>31.874999999999915</v>
      </c>
      <c r="O281" s="11">
        <f t="shared" si="34"/>
        <v>-4.9737991503207013E-14</v>
      </c>
      <c r="P281" s="11">
        <f t="shared" si="35"/>
        <v>24.193750000000041</v>
      </c>
    </row>
    <row r="282" spans="1:16">
      <c r="A282" s="11">
        <v>280</v>
      </c>
      <c r="B282" s="11">
        <v>31.874999999999943</v>
      </c>
      <c r="C282" s="11">
        <v>29.78750000000019</v>
      </c>
      <c r="D282" s="11">
        <v>-8.1712414612411521E-14</v>
      </c>
      <c r="E282" s="11">
        <v>31.874999999999943</v>
      </c>
      <c r="F282" s="11">
        <v>25.592187500000335</v>
      </c>
      <c r="G282" s="11">
        <v>2.4221648012097461</v>
      </c>
      <c r="J282" s="11">
        <v>280</v>
      </c>
      <c r="K282" s="11">
        <f t="shared" si="30"/>
        <v>31.874999999999943</v>
      </c>
      <c r="L282" s="11">
        <f t="shared" si="31"/>
        <v>8.1712414612411521E-14</v>
      </c>
      <c r="M282" s="11">
        <f t="shared" si="32"/>
        <v>29.78750000000019</v>
      </c>
      <c r="N282" s="11">
        <f t="shared" si="33"/>
        <v>31.874999999999943</v>
      </c>
      <c r="O282" s="11">
        <f t="shared" si="34"/>
        <v>-2.4221648012097461</v>
      </c>
      <c r="P282" s="11">
        <f t="shared" si="35"/>
        <v>25.592187500000335</v>
      </c>
    </row>
    <row r="283" spans="1:16">
      <c r="A283" s="11">
        <v>281</v>
      </c>
      <c r="B283" s="11">
        <v>49.124999999999943</v>
      </c>
      <c r="C283" s="11">
        <v>25.592187500000335</v>
      </c>
      <c r="D283" s="11">
        <v>2.4221648012097745</v>
      </c>
      <c r="E283" s="11">
        <v>49.124999999999922</v>
      </c>
      <c r="F283" s="11">
        <v>24.193750000000041</v>
      </c>
      <c r="G283" s="11">
        <v>7.815970093361102E-14</v>
      </c>
      <c r="J283" s="11">
        <v>281</v>
      </c>
      <c r="K283" s="11">
        <f t="shared" si="30"/>
        <v>49.124999999999943</v>
      </c>
      <c r="L283" s="11">
        <f t="shared" si="31"/>
        <v>-2.4221648012097745</v>
      </c>
      <c r="M283" s="11">
        <f t="shared" si="32"/>
        <v>25.592187500000335</v>
      </c>
      <c r="N283" s="11">
        <f t="shared" si="33"/>
        <v>49.124999999999922</v>
      </c>
      <c r="O283" s="11">
        <f t="shared" si="34"/>
        <v>-7.815970093361102E-14</v>
      </c>
      <c r="P283" s="11">
        <f t="shared" si="35"/>
        <v>24.193750000000041</v>
      </c>
    </row>
    <row r="284" spans="1:16">
      <c r="A284" s="11">
        <v>282</v>
      </c>
      <c r="B284" s="11">
        <v>49.12499999999995</v>
      </c>
      <c r="C284" s="11">
        <v>29.78750000000019</v>
      </c>
      <c r="D284" s="11">
        <v>-5.3290705182007514E-14</v>
      </c>
      <c r="E284" s="11">
        <v>49.124999999999943</v>
      </c>
      <c r="F284" s="11">
        <v>25.592187500000335</v>
      </c>
      <c r="G284" s="11">
        <v>2.4221648012097745</v>
      </c>
      <c r="J284" s="11">
        <v>282</v>
      </c>
      <c r="K284" s="11">
        <f t="shared" si="30"/>
        <v>49.12499999999995</v>
      </c>
      <c r="L284" s="11">
        <f t="shared" si="31"/>
        <v>5.3290705182007514E-14</v>
      </c>
      <c r="M284" s="11">
        <f t="shared" si="32"/>
        <v>29.78750000000019</v>
      </c>
      <c r="N284" s="11">
        <f t="shared" si="33"/>
        <v>49.124999999999943</v>
      </c>
      <c r="O284" s="11">
        <f t="shared" si="34"/>
        <v>-2.4221648012097745</v>
      </c>
      <c r="P284" s="11">
        <f t="shared" si="35"/>
        <v>25.592187500000335</v>
      </c>
    </row>
    <row r="285" spans="1:16">
      <c r="A285" s="11">
        <v>283</v>
      </c>
      <c r="B285" s="11">
        <v>66.374999999999943</v>
      </c>
      <c r="C285" s="11">
        <v>25.592187500000186</v>
      </c>
      <c r="D285" s="11">
        <v>2.4221648012099308</v>
      </c>
      <c r="E285" s="11">
        <v>66.374999999999915</v>
      </c>
      <c r="F285" s="11">
        <v>24.193749999999891</v>
      </c>
      <c r="G285" s="11">
        <v>2.3447910280083306E-13</v>
      </c>
      <c r="J285" s="11">
        <v>283</v>
      </c>
      <c r="K285" s="11">
        <f t="shared" si="30"/>
        <v>66.374999999999943</v>
      </c>
      <c r="L285" s="11">
        <f t="shared" si="31"/>
        <v>-2.4221648012099308</v>
      </c>
      <c r="M285" s="11">
        <f t="shared" si="32"/>
        <v>25.592187500000186</v>
      </c>
      <c r="N285" s="11">
        <f t="shared" si="33"/>
        <v>66.374999999999915</v>
      </c>
      <c r="O285" s="11">
        <f t="shared" si="34"/>
        <v>-2.3447910280083306E-13</v>
      </c>
      <c r="P285" s="11">
        <f t="shared" si="35"/>
        <v>24.193749999999891</v>
      </c>
    </row>
    <row r="286" spans="1:16">
      <c r="A286" s="11">
        <v>284</v>
      </c>
      <c r="B286" s="11">
        <v>66.374999999999943</v>
      </c>
      <c r="C286" s="11">
        <v>29.787500000000041</v>
      </c>
      <c r="D286" s="11">
        <v>9.9475983006414026E-14</v>
      </c>
      <c r="E286" s="11">
        <v>66.374999999999943</v>
      </c>
      <c r="F286" s="11">
        <v>25.592187500000186</v>
      </c>
      <c r="G286" s="11">
        <v>2.4221648012099308</v>
      </c>
      <c r="J286" s="11">
        <v>284</v>
      </c>
      <c r="K286" s="11">
        <f t="shared" si="30"/>
        <v>66.374999999999943</v>
      </c>
      <c r="L286" s="11">
        <f t="shared" si="31"/>
        <v>-9.9475983006414026E-14</v>
      </c>
      <c r="M286" s="11">
        <f t="shared" si="32"/>
        <v>29.787500000000041</v>
      </c>
      <c r="N286" s="11">
        <f t="shared" si="33"/>
        <v>66.374999999999943</v>
      </c>
      <c r="O286" s="11">
        <f t="shared" si="34"/>
        <v>-2.4221648012099308</v>
      </c>
      <c r="P286" s="11">
        <f t="shared" si="35"/>
        <v>25.592187500000186</v>
      </c>
    </row>
    <row r="287" spans="1:16">
      <c r="A287" s="11">
        <v>285</v>
      </c>
      <c r="B287" s="11">
        <v>187.12500000000003</v>
      </c>
      <c r="C287" s="11">
        <v>25.592187500000307</v>
      </c>
      <c r="D287" s="11">
        <v>2.422164801211629</v>
      </c>
      <c r="E287" s="11">
        <v>187.12499999999994</v>
      </c>
      <c r="F287" s="11">
        <v>24.193750000000012</v>
      </c>
      <c r="G287" s="11">
        <v>1.9255708139098715E-12</v>
      </c>
      <c r="J287" s="11">
        <v>285</v>
      </c>
      <c r="K287" s="11">
        <f t="shared" si="30"/>
        <v>187.12500000000003</v>
      </c>
      <c r="L287" s="11">
        <f t="shared" si="31"/>
        <v>-2.422164801211629</v>
      </c>
      <c r="M287" s="11">
        <f t="shared" si="32"/>
        <v>25.592187500000307</v>
      </c>
      <c r="N287" s="11">
        <f t="shared" si="33"/>
        <v>187.12499999999994</v>
      </c>
      <c r="O287" s="11">
        <f t="shared" si="34"/>
        <v>-1.9255708139098715E-12</v>
      </c>
      <c r="P287" s="11">
        <f t="shared" si="35"/>
        <v>24.193750000000012</v>
      </c>
    </row>
    <row r="288" spans="1:16">
      <c r="A288" s="11">
        <v>286</v>
      </c>
      <c r="B288" s="11">
        <v>187.12499999999997</v>
      </c>
      <c r="C288" s="11">
        <v>29.787500000000161</v>
      </c>
      <c r="D288" s="11">
        <v>1.7976731214730535E-12</v>
      </c>
      <c r="E288" s="11">
        <v>187.12500000000003</v>
      </c>
      <c r="F288" s="11">
        <v>25.592187500000307</v>
      </c>
      <c r="G288" s="11">
        <v>2.422164801211629</v>
      </c>
      <c r="J288" s="11">
        <v>286</v>
      </c>
      <c r="K288" s="11">
        <f t="shared" si="30"/>
        <v>187.12499999999997</v>
      </c>
      <c r="L288" s="11">
        <f t="shared" si="31"/>
        <v>-1.7976731214730535E-12</v>
      </c>
      <c r="M288" s="11">
        <f t="shared" si="32"/>
        <v>29.787500000000161</v>
      </c>
      <c r="N288" s="11">
        <f t="shared" si="33"/>
        <v>187.12500000000003</v>
      </c>
      <c r="O288" s="11">
        <f t="shared" si="34"/>
        <v>-2.422164801211629</v>
      </c>
      <c r="P288" s="11">
        <f t="shared" si="35"/>
        <v>25.592187500000307</v>
      </c>
    </row>
    <row r="289" spans="1:16">
      <c r="A289" s="11">
        <v>287</v>
      </c>
      <c r="B289" s="11">
        <v>204.37500000000003</v>
      </c>
      <c r="C289" s="11">
        <v>25.592187500000307</v>
      </c>
      <c r="D289" s="11">
        <v>2.4221648012111601</v>
      </c>
      <c r="E289" s="11">
        <v>204.37499999999994</v>
      </c>
      <c r="F289" s="11">
        <v>24.193750000000012</v>
      </c>
      <c r="G289" s="11">
        <v>1.4637180356658064E-12</v>
      </c>
      <c r="J289" s="11">
        <v>287</v>
      </c>
      <c r="K289" s="11">
        <f t="shared" si="30"/>
        <v>204.37500000000003</v>
      </c>
      <c r="L289" s="11">
        <f t="shared" si="31"/>
        <v>-2.4221648012111601</v>
      </c>
      <c r="M289" s="11">
        <f t="shared" si="32"/>
        <v>25.592187500000307</v>
      </c>
      <c r="N289" s="11">
        <f t="shared" si="33"/>
        <v>204.37499999999994</v>
      </c>
      <c r="O289" s="11">
        <f t="shared" si="34"/>
        <v>-1.4637180356658064E-12</v>
      </c>
      <c r="P289" s="11">
        <f t="shared" si="35"/>
        <v>24.193750000000012</v>
      </c>
    </row>
    <row r="290" spans="1:16">
      <c r="A290" s="11">
        <v>288</v>
      </c>
      <c r="B290" s="11">
        <v>204.37499999999997</v>
      </c>
      <c r="C290" s="11">
        <v>29.787500000000161</v>
      </c>
      <c r="D290" s="11">
        <v>1.3358203432289883E-12</v>
      </c>
      <c r="E290" s="11">
        <v>204.37500000000003</v>
      </c>
      <c r="F290" s="11">
        <v>25.592187500000307</v>
      </c>
      <c r="G290" s="11">
        <v>2.4221648012111601</v>
      </c>
      <c r="J290" s="11">
        <v>288</v>
      </c>
      <c r="K290" s="11">
        <f t="shared" si="30"/>
        <v>204.37499999999997</v>
      </c>
      <c r="L290" s="11">
        <f t="shared" si="31"/>
        <v>-1.3358203432289883E-12</v>
      </c>
      <c r="M290" s="11">
        <f t="shared" si="32"/>
        <v>29.787500000000161</v>
      </c>
      <c r="N290" s="11">
        <f t="shared" si="33"/>
        <v>204.37500000000003</v>
      </c>
      <c r="O290" s="11">
        <f t="shared" si="34"/>
        <v>-2.4221648012111601</v>
      </c>
      <c r="P290" s="11">
        <f t="shared" si="35"/>
        <v>25.592187500000307</v>
      </c>
    </row>
    <row r="291" spans="1:16">
      <c r="A291" s="11">
        <v>289</v>
      </c>
      <c r="B291" s="11">
        <v>221.62500000000003</v>
      </c>
      <c r="C291" s="11">
        <v>25.592187500000307</v>
      </c>
      <c r="D291" s="11">
        <v>2.4221648012107053</v>
      </c>
      <c r="E291" s="11">
        <v>221.62499999999994</v>
      </c>
      <c r="F291" s="11">
        <v>24.193750000000012</v>
      </c>
      <c r="G291" s="11">
        <v>1.0018652574217413E-12</v>
      </c>
      <c r="J291" s="11">
        <v>289</v>
      </c>
      <c r="K291" s="11">
        <f t="shared" si="30"/>
        <v>221.62500000000003</v>
      </c>
      <c r="L291" s="11">
        <f t="shared" si="31"/>
        <v>-2.4221648012107053</v>
      </c>
      <c r="M291" s="11">
        <f t="shared" si="32"/>
        <v>25.592187500000307</v>
      </c>
      <c r="N291" s="11">
        <f t="shared" si="33"/>
        <v>221.62499999999994</v>
      </c>
      <c r="O291" s="11">
        <f t="shared" si="34"/>
        <v>-1.0018652574217413E-12</v>
      </c>
      <c r="P291" s="11">
        <f t="shared" si="35"/>
        <v>24.193750000000012</v>
      </c>
    </row>
    <row r="292" spans="1:16">
      <c r="A292" s="11">
        <v>290</v>
      </c>
      <c r="B292" s="11">
        <v>221.62499999999997</v>
      </c>
      <c r="C292" s="11">
        <v>29.787500000000161</v>
      </c>
      <c r="D292" s="11">
        <v>8.7396756498492323E-13</v>
      </c>
      <c r="E292" s="11">
        <v>221.62500000000003</v>
      </c>
      <c r="F292" s="11">
        <v>25.592187500000307</v>
      </c>
      <c r="G292" s="11">
        <v>2.4221648012107053</v>
      </c>
      <c r="J292" s="11">
        <v>290</v>
      </c>
      <c r="K292" s="11">
        <f t="shared" si="30"/>
        <v>221.62499999999997</v>
      </c>
      <c r="L292" s="11">
        <f t="shared" si="31"/>
        <v>-8.7396756498492323E-13</v>
      </c>
      <c r="M292" s="11">
        <f t="shared" si="32"/>
        <v>29.787500000000161</v>
      </c>
      <c r="N292" s="11">
        <f t="shared" si="33"/>
        <v>221.62500000000003</v>
      </c>
      <c r="O292" s="11">
        <f t="shared" si="34"/>
        <v>-2.4221648012107053</v>
      </c>
      <c r="P292" s="11">
        <f t="shared" si="35"/>
        <v>25.592187500000307</v>
      </c>
    </row>
    <row r="293" spans="1:16">
      <c r="A293" s="11">
        <v>291</v>
      </c>
      <c r="B293" s="11">
        <v>238.87500000000003</v>
      </c>
      <c r="C293" s="11">
        <v>25.592187500000158</v>
      </c>
      <c r="D293" s="11">
        <v>2.4221648012103643</v>
      </c>
      <c r="E293" s="11">
        <v>238.87499999999994</v>
      </c>
      <c r="F293" s="11">
        <v>24.193749999999863</v>
      </c>
      <c r="G293" s="11">
        <v>6.6791017161449417E-13</v>
      </c>
      <c r="J293" s="11">
        <v>291</v>
      </c>
      <c r="K293" s="11">
        <f t="shared" si="30"/>
        <v>238.87500000000003</v>
      </c>
      <c r="L293" s="11">
        <f t="shared" si="31"/>
        <v>-2.4221648012103643</v>
      </c>
      <c r="M293" s="11">
        <f t="shared" si="32"/>
        <v>25.592187500000158</v>
      </c>
      <c r="N293" s="11">
        <f t="shared" si="33"/>
        <v>238.87499999999994</v>
      </c>
      <c r="O293" s="11">
        <f t="shared" si="34"/>
        <v>-6.6791017161449417E-13</v>
      </c>
      <c r="P293" s="11">
        <f t="shared" si="35"/>
        <v>24.193749999999863</v>
      </c>
    </row>
    <row r="294" spans="1:16">
      <c r="A294" s="11">
        <v>292</v>
      </c>
      <c r="B294" s="11">
        <v>238.87499999999997</v>
      </c>
      <c r="C294" s="11">
        <v>29.787500000000012</v>
      </c>
      <c r="D294" s="11">
        <v>5.4001247917767614E-13</v>
      </c>
      <c r="E294" s="11">
        <v>238.87500000000003</v>
      </c>
      <c r="F294" s="11">
        <v>25.592187500000158</v>
      </c>
      <c r="G294" s="11">
        <v>2.4221648012103643</v>
      </c>
      <c r="J294" s="11">
        <v>292</v>
      </c>
      <c r="K294" s="11">
        <f t="shared" si="30"/>
        <v>238.87499999999997</v>
      </c>
      <c r="L294" s="11">
        <f t="shared" si="31"/>
        <v>-5.4001247917767614E-13</v>
      </c>
      <c r="M294" s="11">
        <f t="shared" si="32"/>
        <v>29.787500000000012</v>
      </c>
      <c r="N294" s="11">
        <f t="shared" si="33"/>
        <v>238.87500000000003</v>
      </c>
      <c r="O294" s="11">
        <f t="shared" si="34"/>
        <v>-2.4221648012103643</v>
      </c>
      <c r="P294" s="11">
        <f t="shared" si="35"/>
        <v>25.592187500000158</v>
      </c>
    </row>
    <row r="295" spans="1:16">
      <c r="A295" s="11">
        <v>293</v>
      </c>
      <c r="B295" s="11">
        <v>83.625000000000057</v>
      </c>
      <c r="C295" s="11">
        <v>25.592187500000321</v>
      </c>
      <c r="D295" s="11">
        <v>-34.422164801209682</v>
      </c>
      <c r="E295" s="11">
        <v>83.624999999999972</v>
      </c>
      <c r="F295" s="11">
        <v>24.193750000000026</v>
      </c>
      <c r="G295" s="11">
        <v>-31.999999999999979</v>
      </c>
      <c r="J295" s="11">
        <v>293</v>
      </c>
      <c r="K295" s="11">
        <f t="shared" si="30"/>
        <v>83.625000000000057</v>
      </c>
      <c r="L295" s="11">
        <f t="shared" si="31"/>
        <v>34.422164801209682</v>
      </c>
      <c r="M295" s="11">
        <f t="shared" si="32"/>
        <v>25.592187500000321</v>
      </c>
      <c r="N295" s="11">
        <f t="shared" si="33"/>
        <v>83.624999999999972</v>
      </c>
      <c r="O295" s="11">
        <f t="shared" si="34"/>
        <v>31.999999999999979</v>
      </c>
      <c r="P295" s="11">
        <f t="shared" si="35"/>
        <v>24.193750000000026</v>
      </c>
    </row>
    <row r="296" spans="1:16">
      <c r="A296" s="11">
        <v>294</v>
      </c>
      <c r="B296" s="11">
        <v>83.625</v>
      </c>
      <c r="C296" s="11">
        <v>29.787500000000176</v>
      </c>
      <c r="D296" s="11">
        <v>-31.999999999999851</v>
      </c>
      <c r="E296" s="11">
        <v>83.625000000000057</v>
      </c>
      <c r="F296" s="11">
        <v>25.592187500000321</v>
      </c>
      <c r="G296" s="11">
        <v>-34.422164801209682</v>
      </c>
      <c r="J296" s="11">
        <v>294</v>
      </c>
      <c r="K296" s="11">
        <f t="shared" si="30"/>
        <v>83.625</v>
      </c>
      <c r="L296" s="11">
        <f t="shared" si="31"/>
        <v>31.999999999999851</v>
      </c>
      <c r="M296" s="11">
        <f t="shared" si="32"/>
        <v>29.787500000000176</v>
      </c>
      <c r="N296" s="11">
        <f t="shared" si="33"/>
        <v>83.625000000000057</v>
      </c>
      <c r="O296" s="11">
        <f t="shared" si="34"/>
        <v>34.422164801209682</v>
      </c>
      <c r="P296" s="11">
        <f t="shared" si="35"/>
        <v>25.592187500000321</v>
      </c>
    </row>
    <row r="297" spans="1:16">
      <c r="A297" s="11">
        <v>295</v>
      </c>
      <c r="B297" s="11">
        <v>100.87500000000003</v>
      </c>
      <c r="C297" s="11">
        <v>25.592187500000321</v>
      </c>
      <c r="D297" s="11">
        <v>-34.422164801209682</v>
      </c>
      <c r="E297" s="11">
        <v>100.87499999999994</v>
      </c>
      <c r="F297" s="11">
        <v>24.193750000000026</v>
      </c>
      <c r="G297" s="11">
        <v>-31.999999999999979</v>
      </c>
      <c r="J297" s="11">
        <v>295</v>
      </c>
      <c r="K297" s="11">
        <f t="shared" si="30"/>
        <v>100.87500000000003</v>
      </c>
      <c r="L297" s="11">
        <f t="shared" si="31"/>
        <v>34.422164801209682</v>
      </c>
      <c r="M297" s="11">
        <f t="shared" si="32"/>
        <v>25.592187500000321</v>
      </c>
      <c r="N297" s="11">
        <f t="shared" si="33"/>
        <v>100.87499999999994</v>
      </c>
      <c r="O297" s="11">
        <f t="shared" si="34"/>
        <v>31.999999999999979</v>
      </c>
      <c r="P297" s="11">
        <f t="shared" si="35"/>
        <v>24.193750000000026</v>
      </c>
    </row>
    <row r="298" spans="1:16">
      <c r="A298" s="11">
        <v>296</v>
      </c>
      <c r="B298" s="11">
        <v>100.87499999999997</v>
      </c>
      <c r="C298" s="11">
        <v>29.787500000000176</v>
      </c>
      <c r="D298" s="11">
        <v>-31.999999999999851</v>
      </c>
      <c r="E298" s="11">
        <v>100.87500000000003</v>
      </c>
      <c r="F298" s="11">
        <v>25.592187500000321</v>
      </c>
      <c r="G298" s="11">
        <v>-34.422164801209682</v>
      </c>
      <c r="J298" s="11">
        <v>296</v>
      </c>
      <c r="K298" s="11">
        <f t="shared" si="30"/>
        <v>100.87499999999997</v>
      </c>
      <c r="L298" s="11">
        <f t="shared" si="31"/>
        <v>31.999999999999851</v>
      </c>
      <c r="M298" s="11">
        <f t="shared" si="32"/>
        <v>29.787500000000176</v>
      </c>
      <c r="N298" s="11">
        <f t="shared" si="33"/>
        <v>100.87500000000003</v>
      </c>
      <c r="O298" s="11">
        <f t="shared" si="34"/>
        <v>34.422164801209682</v>
      </c>
      <c r="P298" s="11">
        <f t="shared" si="35"/>
        <v>25.592187500000321</v>
      </c>
    </row>
    <row r="299" spans="1:16">
      <c r="A299" s="11">
        <v>297</v>
      </c>
      <c r="B299" s="11">
        <v>118.12500000000006</v>
      </c>
      <c r="C299" s="11">
        <v>25.592187500000321</v>
      </c>
      <c r="D299" s="11">
        <v>-34.422164801209668</v>
      </c>
      <c r="E299" s="11">
        <v>118.12499999999997</v>
      </c>
      <c r="F299" s="11">
        <v>24.193750000000026</v>
      </c>
      <c r="G299" s="11">
        <v>-31.999999999999964</v>
      </c>
      <c r="J299" s="11">
        <v>297</v>
      </c>
      <c r="K299" s="11">
        <f t="shared" si="30"/>
        <v>118.12500000000006</v>
      </c>
      <c r="L299" s="11">
        <f t="shared" si="31"/>
        <v>34.422164801209668</v>
      </c>
      <c r="M299" s="11">
        <f t="shared" si="32"/>
        <v>25.592187500000321</v>
      </c>
      <c r="N299" s="11">
        <f t="shared" si="33"/>
        <v>118.12499999999997</v>
      </c>
      <c r="O299" s="11">
        <f t="shared" si="34"/>
        <v>31.999999999999964</v>
      </c>
      <c r="P299" s="11">
        <f t="shared" si="35"/>
        <v>24.193750000000026</v>
      </c>
    </row>
    <row r="300" spans="1:16">
      <c r="A300" s="11">
        <v>298</v>
      </c>
      <c r="B300" s="11">
        <v>118.125</v>
      </c>
      <c r="C300" s="11">
        <v>29.787500000000176</v>
      </c>
      <c r="D300" s="11">
        <v>-31.999999999999837</v>
      </c>
      <c r="E300" s="11">
        <v>118.12500000000006</v>
      </c>
      <c r="F300" s="11">
        <v>25.592187500000321</v>
      </c>
      <c r="G300" s="11">
        <v>-34.422164801209668</v>
      </c>
      <c r="J300" s="11">
        <v>298</v>
      </c>
      <c r="K300" s="11">
        <f t="shared" si="30"/>
        <v>118.125</v>
      </c>
      <c r="L300" s="11">
        <f t="shared" si="31"/>
        <v>31.999999999999837</v>
      </c>
      <c r="M300" s="11">
        <f t="shared" si="32"/>
        <v>29.787500000000176</v>
      </c>
      <c r="N300" s="11">
        <f t="shared" si="33"/>
        <v>118.12500000000006</v>
      </c>
      <c r="O300" s="11">
        <f t="shared" si="34"/>
        <v>34.422164801209668</v>
      </c>
      <c r="P300" s="11">
        <f t="shared" si="35"/>
        <v>25.592187500000321</v>
      </c>
    </row>
    <row r="301" spans="1:16">
      <c r="A301" s="11">
        <v>299</v>
      </c>
      <c r="B301" s="11">
        <v>135.37500000000006</v>
      </c>
      <c r="C301" s="11">
        <v>25.592187500000321</v>
      </c>
      <c r="D301" s="11">
        <v>-34.422164801209668</v>
      </c>
      <c r="E301" s="11">
        <v>135.37499999999997</v>
      </c>
      <c r="F301" s="11">
        <v>24.193750000000026</v>
      </c>
      <c r="G301" s="11">
        <v>-31.999999999999964</v>
      </c>
      <c r="J301" s="11">
        <v>299</v>
      </c>
      <c r="K301" s="11">
        <f t="shared" si="30"/>
        <v>135.37500000000006</v>
      </c>
      <c r="L301" s="11">
        <f t="shared" si="31"/>
        <v>34.422164801209668</v>
      </c>
      <c r="M301" s="11">
        <f t="shared" si="32"/>
        <v>25.592187500000321</v>
      </c>
      <c r="N301" s="11">
        <f t="shared" si="33"/>
        <v>135.37499999999997</v>
      </c>
      <c r="O301" s="11">
        <f t="shared" si="34"/>
        <v>31.999999999999964</v>
      </c>
      <c r="P301" s="11">
        <f t="shared" si="35"/>
        <v>24.193750000000026</v>
      </c>
    </row>
    <row r="302" spans="1:16">
      <c r="A302" s="11">
        <v>300</v>
      </c>
      <c r="B302" s="11">
        <v>135.375</v>
      </c>
      <c r="C302" s="11">
        <v>29.787500000000176</v>
      </c>
      <c r="D302" s="11">
        <v>-31.999999999999837</v>
      </c>
      <c r="E302" s="11">
        <v>135.37500000000006</v>
      </c>
      <c r="F302" s="11">
        <v>25.592187500000321</v>
      </c>
      <c r="G302" s="11">
        <v>-34.422164801209668</v>
      </c>
      <c r="J302" s="11">
        <v>300</v>
      </c>
      <c r="K302" s="11">
        <f t="shared" si="30"/>
        <v>135.375</v>
      </c>
      <c r="L302" s="11">
        <f t="shared" si="31"/>
        <v>31.999999999999837</v>
      </c>
      <c r="M302" s="11">
        <f t="shared" si="32"/>
        <v>29.787500000000176</v>
      </c>
      <c r="N302" s="11">
        <f t="shared" si="33"/>
        <v>135.37500000000006</v>
      </c>
      <c r="O302" s="11">
        <f t="shared" si="34"/>
        <v>34.422164801209668</v>
      </c>
      <c r="P302" s="11">
        <f t="shared" si="35"/>
        <v>25.592187500000321</v>
      </c>
    </row>
    <row r="303" spans="1:16">
      <c r="A303" s="11">
        <v>301</v>
      </c>
      <c r="B303" s="11">
        <v>152.62500000000006</v>
      </c>
      <c r="C303" s="11">
        <v>25.592187500000321</v>
      </c>
      <c r="D303" s="11">
        <v>-34.422164801209668</v>
      </c>
      <c r="E303" s="11">
        <v>152.62499999999997</v>
      </c>
      <c r="F303" s="11">
        <v>24.193750000000026</v>
      </c>
      <c r="G303" s="11">
        <v>-31.999999999999964</v>
      </c>
      <c r="J303" s="11">
        <v>301</v>
      </c>
      <c r="K303" s="11">
        <f t="shared" si="30"/>
        <v>152.62500000000006</v>
      </c>
      <c r="L303" s="11">
        <f t="shared" si="31"/>
        <v>34.422164801209668</v>
      </c>
      <c r="M303" s="11">
        <f t="shared" si="32"/>
        <v>25.592187500000321</v>
      </c>
      <c r="N303" s="11">
        <f t="shared" si="33"/>
        <v>152.62499999999997</v>
      </c>
      <c r="O303" s="11">
        <f t="shared" si="34"/>
        <v>31.999999999999964</v>
      </c>
      <c r="P303" s="11">
        <f t="shared" si="35"/>
        <v>24.193750000000026</v>
      </c>
    </row>
    <row r="304" spans="1:16">
      <c r="A304" s="11">
        <v>302</v>
      </c>
      <c r="B304" s="11">
        <v>152.625</v>
      </c>
      <c r="C304" s="11">
        <v>29.787500000000176</v>
      </c>
      <c r="D304" s="11">
        <v>-31.999999999999837</v>
      </c>
      <c r="E304" s="11">
        <v>152.62500000000006</v>
      </c>
      <c r="F304" s="11">
        <v>25.592187500000321</v>
      </c>
      <c r="G304" s="11">
        <v>-34.422164801209668</v>
      </c>
      <c r="J304" s="11">
        <v>302</v>
      </c>
      <c r="K304" s="11">
        <f t="shared" si="30"/>
        <v>152.625</v>
      </c>
      <c r="L304" s="11">
        <f t="shared" si="31"/>
        <v>31.999999999999837</v>
      </c>
      <c r="M304" s="11">
        <f t="shared" si="32"/>
        <v>29.787500000000176</v>
      </c>
      <c r="N304" s="11">
        <f t="shared" si="33"/>
        <v>152.62500000000006</v>
      </c>
      <c r="O304" s="11">
        <f t="shared" si="34"/>
        <v>34.422164801209668</v>
      </c>
      <c r="P304" s="11">
        <f t="shared" si="35"/>
        <v>25.592187500000321</v>
      </c>
    </row>
    <row r="305" spans="1:16">
      <c r="A305" s="11">
        <v>303</v>
      </c>
      <c r="B305" s="11">
        <v>169.87500000000006</v>
      </c>
      <c r="C305" s="11">
        <v>25.592187500000307</v>
      </c>
      <c r="D305" s="11">
        <v>-34.422164801209668</v>
      </c>
      <c r="E305" s="11">
        <v>169.87499999999997</v>
      </c>
      <c r="F305" s="11">
        <v>24.193750000000012</v>
      </c>
      <c r="G305" s="11">
        <v>-31.999999999999964</v>
      </c>
      <c r="J305" s="11">
        <v>303</v>
      </c>
      <c r="K305" s="11">
        <f t="shared" si="30"/>
        <v>169.87500000000006</v>
      </c>
      <c r="L305" s="11">
        <f t="shared" si="31"/>
        <v>34.422164801209668</v>
      </c>
      <c r="M305" s="11">
        <f t="shared" si="32"/>
        <v>25.592187500000307</v>
      </c>
      <c r="N305" s="11">
        <f t="shared" si="33"/>
        <v>169.87499999999997</v>
      </c>
      <c r="O305" s="11">
        <f t="shared" si="34"/>
        <v>31.999999999999964</v>
      </c>
      <c r="P305" s="11">
        <f t="shared" si="35"/>
        <v>24.193750000000012</v>
      </c>
    </row>
    <row r="306" spans="1:16">
      <c r="A306" s="11">
        <v>304</v>
      </c>
      <c r="B306" s="11">
        <v>169.875</v>
      </c>
      <c r="C306" s="11">
        <v>29.787500000000161</v>
      </c>
      <c r="D306" s="11">
        <v>-31.999999999999837</v>
      </c>
      <c r="E306" s="11">
        <v>169.87500000000006</v>
      </c>
      <c r="F306" s="11">
        <v>25.592187500000307</v>
      </c>
      <c r="G306" s="11">
        <v>-34.422164801209668</v>
      </c>
      <c r="J306" s="11">
        <v>304</v>
      </c>
      <c r="K306" s="11">
        <f t="shared" si="30"/>
        <v>169.875</v>
      </c>
      <c r="L306" s="11">
        <f t="shared" si="31"/>
        <v>31.999999999999837</v>
      </c>
      <c r="M306" s="11">
        <f t="shared" si="32"/>
        <v>29.787500000000161</v>
      </c>
      <c r="N306" s="11">
        <f t="shared" si="33"/>
        <v>169.87500000000006</v>
      </c>
      <c r="O306" s="11">
        <f t="shared" si="34"/>
        <v>34.422164801209668</v>
      </c>
      <c r="P306" s="11">
        <f t="shared" si="35"/>
        <v>25.592187500000307</v>
      </c>
    </row>
    <row r="307" spans="1:16">
      <c r="A307" s="11">
        <v>305</v>
      </c>
      <c r="B307" s="11">
        <v>14.624999999999972</v>
      </c>
      <c r="C307" s="11">
        <v>25.592187500000335</v>
      </c>
      <c r="D307" s="11">
        <v>-34.422164801209711</v>
      </c>
      <c r="E307" s="11">
        <v>14.624999999999943</v>
      </c>
      <c r="F307" s="11">
        <v>24.193750000000041</v>
      </c>
      <c r="G307" s="11">
        <v>-32.000000000000014</v>
      </c>
      <c r="J307" s="11">
        <v>305</v>
      </c>
      <c r="K307" s="11">
        <f t="shared" si="30"/>
        <v>14.624999999999972</v>
      </c>
      <c r="L307" s="11">
        <f t="shared" si="31"/>
        <v>34.422164801209711</v>
      </c>
      <c r="M307" s="11">
        <f t="shared" si="32"/>
        <v>25.592187500000335</v>
      </c>
      <c r="N307" s="11">
        <f t="shared" si="33"/>
        <v>14.624999999999943</v>
      </c>
      <c r="O307" s="11">
        <f t="shared" si="34"/>
        <v>32.000000000000014</v>
      </c>
      <c r="P307" s="11">
        <f t="shared" si="35"/>
        <v>24.193750000000041</v>
      </c>
    </row>
    <row r="308" spans="1:16">
      <c r="A308" s="11">
        <v>306</v>
      </c>
      <c r="B308" s="11">
        <v>14.624999999999972</v>
      </c>
      <c r="C308" s="11">
        <v>29.78750000000019</v>
      </c>
      <c r="D308" s="11">
        <v>-31.999999999999879</v>
      </c>
      <c r="E308" s="11">
        <v>14.624999999999972</v>
      </c>
      <c r="F308" s="11">
        <v>25.592187500000335</v>
      </c>
      <c r="G308" s="11">
        <v>-34.422164801209711</v>
      </c>
      <c r="J308" s="11">
        <v>306</v>
      </c>
      <c r="K308" s="11">
        <f t="shared" si="30"/>
        <v>14.624999999999972</v>
      </c>
      <c r="L308" s="11">
        <f t="shared" si="31"/>
        <v>31.999999999999879</v>
      </c>
      <c r="M308" s="11">
        <f t="shared" si="32"/>
        <v>29.78750000000019</v>
      </c>
      <c r="N308" s="11">
        <f t="shared" si="33"/>
        <v>14.624999999999972</v>
      </c>
      <c r="O308" s="11">
        <f t="shared" si="34"/>
        <v>34.422164801209711</v>
      </c>
      <c r="P308" s="11">
        <f t="shared" si="35"/>
        <v>25.592187500000335</v>
      </c>
    </row>
    <row r="309" spans="1:16">
      <c r="A309" s="11">
        <v>307</v>
      </c>
      <c r="B309" s="11">
        <v>31.874999999999972</v>
      </c>
      <c r="C309" s="11">
        <v>25.592187500000335</v>
      </c>
      <c r="D309" s="11">
        <v>-34.422164801209711</v>
      </c>
      <c r="E309" s="11">
        <v>31.874999999999943</v>
      </c>
      <c r="F309" s="11">
        <v>24.193750000000041</v>
      </c>
      <c r="G309" s="11">
        <v>-32.000000000000014</v>
      </c>
      <c r="J309" s="11">
        <v>307</v>
      </c>
      <c r="K309" s="11">
        <f t="shared" si="30"/>
        <v>31.874999999999972</v>
      </c>
      <c r="L309" s="11">
        <f t="shared" si="31"/>
        <v>34.422164801209711</v>
      </c>
      <c r="M309" s="11">
        <f t="shared" si="32"/>
        <v>25.592187500000335</v>
      </c>
      <c r="N309" s="11">
        <f t="shared" si="33"/>
        <v>31.874999999999943</v>
      </c>
      <c r="O309" s="11">
        <f t="shared" si="34"/>
        <v>32.000000000000014</v>
      </c>
      <c r="P309" s="11">
        <f t="shared" si="35"/>
        <v>24.193750000000041</v>
      </c>
    </row>
    <row r="310" spans="1:16">
      <c r="A310" s="11">
        <v>308</v>
      </c>
      <c r="B310" s="11">
        <v>31.874999999999972</v>
      </c>
      <c r="C310" s="11">
        <v>29.78750000000019</v>
      </c>
      <c r="D310" s="11">
        <v>-31.999999999999879</v>
      </c>
      <c r="E310" s="11">
        <v>31.874999999999972</v>
      </c>
      <c r="F310" s="11">
        <v>25.592187500000335</v>
      </c>
      <c r="G310" s="11">
        <v>-34.422164801209711</v>
      </c>
      <c r="J310" s="11">
        <v>308</v>
      </c>
      <c r="K310" s="11">
        <f t="shared" si="30"/>
        <v>31.874999999999972</v>
      </c>
      <c r="L310" s="11">
        <f t="shared" si="31"/>
        <v>31.999999999999879</v>
      </c>
      <c r="M310" s="11">
        <f t="shared" si="32"/>
        <v>29.78750000000019</v>
      </c>
      <c r="N310" s="11">
        <f t="shared" si="33"/>
        <v>31.874999999999972</v>
      </c>
      <c r="O310" s="11">
        <f t="shared" si="34"/>
        <v>34.422164801209711</v>
      </c>
      <c r="P310" s="11">
        <f t="shared" si="35"/>
        <v>25.592187500000335</v>
      </c>
    </row>
    <row r="311" spans="1:16">
      <c r="A311" s="11">
        <v>309</v>
      </c>
      <c r="B311" s="11">
        <v>49.124999999999972</v>
      </c>
      <c r="C311" s="11">
        <v>25.592187500000335</v>
      </c>
      <c r="D311" s="11">
        <v>-34.422164801209711</v>
      </c>
      <c r="E311" s="11">
        <v>49.124999999999943</v>
      </c>
      <c r="F311" s="11">
        <v>24.193750000000041</v>
      </c>
      <c r="G311" s="11">
        <v>-32.000000000000014</v>
      </c>
      <c r="J311" s="11">
        <v>309</v>
      </c>
      <c r="K311" s="11">
        <f t="shared" si="30"/>
        <v>49.124999999999972</v>
      </c>
      <c r="L311" s="11">
        <f t="shared" si="31"/>
        <v>34.422164801209711</v>
      </c>
      <c r="M311" s="11">
        <f t="shared" si="32"/>
        <v>25.592187500000335</v>
      </c>
      <c r="N311" s="11">
        <f t="shared" si="33"/>
        <v>49.124999999999943</v>
      </c>
      <c r="O311" s="11">
        <f t="shared" si="34"/>
        <v>32.000000000000014</v>
      </c>
      <c r="P311" s="11">
        <f t="shared" si="35"/>
        <v>24.193750000000041</v>
      </c>
    </row>
    <row r="312" spans="1:16">
      <c r="A312" s="11">
        <v>310</v>
      </c>
      <c r="B312" s="11">
        <v>49.124999999999972</v>
      </c>
      <c r="C312" s="11">
        <v>29.78750000000019</v>
      </c>
      <c r="D312" s="11">
        <v>-31.999999999999879</v>
      </c>
      <c r="E312" s="11">
        <v>49.124999999999972</v>
      </c>
      <c r="F312" s="11">
        <v>25.592187500000335</v>
      </c>
      <c r="G312" s="11">
        <v>-34.422164801209711</v>
      </c>
      <c r="J312" s="11">
        <v>310</v>
      </c>
      <c r="K312" s="11">
        <f t="shared" si="30"/>
        <v>49.124999999999972</v>
      </c>
      <c r="L312" s="11">
        <f t="shared" si="31"/>
        <v>31.999999999999879</v>
      </c>
      <c r="M312" s="11">
        <f t="shared" si="32"/>
        <v>29.78750000000019</v>
      </c>
      <c r="N312" s="11">
        <f t="shared" si="33"/>
        <v>49.124999999999972</v>
      </c>
      <c r="O312" s="11">
        <f t="shared" si="34"/>
        <v>34.422164801209711</v>
      </c>
      <c r="P312" s="11">
        <f t="shared" si="35"/>
        <v>25.592187500000335</v>
      </c>
    </row>
    <row r="313" spans="1:16">
      <c r="A313" s="11">
        <v>311</v>
      </c>
      <c r="B313" s="11">
        <v>66.374999999999972</v>
      </c>
      <c r="C313" s="11">
        <v>25.592187500000186</v>
      </c>
      <c r="D313" s="11">
        <v>-34.422164801209838</v>
      </c>
      <c r="E313" s="11">
        <v>66.374999999999943</v>
      </c>
      <c r="F313" s="11">
        <v>24.193749999999891</v>
      </c>
      <c r="G313" s="11">
        <v>-32.000000000000142</v>
      </c>
      <c r="J313" s="11">
        <v>311</v>
      </c>
      <c r="K313" s="11">
        <f t="shared" si="30"/>
        <v>66.374999999999972</v>
      </c>
      <c r="L313" s="11">
        <f t="shared" si="31"/>
        <v>34.422164801209838</v>
      </c>
      <c r="M313" s="11">
        <f t="shared" si="32"/>
        <v>25.592187500000186</v>
      </c>
      <c r="N313" s="11">
        <f t="shared" si="33"/>
        <v>66.374999999999943</v>
      </c>
      <c r="O313" s="11">
        <f t="shared" si="34"/>
        <v>32.000000000000142</v>
      </c>
      <c r="P313" s="11">
        <f t="shared" si="35"/>
        <v>24.193749999999891</v>
      </c>
    </row>
    <row r="314" spans="1:16">
      <c r="A314" s="11">
        <v>312</v>
      </c>
      <c r="B314" s="11">
        <v>66.374999999999972</v>
      </c>
      <c r="C314" s="11">
        <v>29.787500000000041</v>
      </c>
      <c r="D314" s="11">
        <v>-32.000000000000007</v>
      </c>
      <c r="E314" s="11">
        <v>66.374999999999972</v>
      </c>
      <c r="F314" s="11">
        <v>25.592187500000186</v>
      </c>
      <c r="G314" s="11">
        <v>-34.422164801209838</v>
      </c>
      <c r="J314" s="11">
        <v>312</v>
      </c>
      <c r="K314" s="11">
        <f t="shared" si="30"/>
        <v>66.374999999999972</v>
      </c>
      <c r="L314" s="11">
        <f t="shared" si="31"/>
        <v>32.000000000000007</v>
      </c>
      <c r="M314" s="11">
        <f t="shared" si="32"/>
        <v>29.787500000000041</v>
      </c>
      <c r="N314" s="11">
        <f t="shared" si="33"/>
        <v>66.374999999999972</v>
      </c>
      <c r="O314" s="11">
        <f t="shared" si="34"/>
        <v>34.422164801209838</v>
      </c>
      <c r="P314" s="11">
        <f t="shared" si="35"/>
        <v>25.592187500000186</v>
      </c>
    </row>
    <row r="315" spans="1:16">
      <c r="A315" s="11">
        <v>313</v>
      </c>
      <c r="B315" s="11">
        <v>187.12500000000006</v>
      </c>
      <c r="C315" s="11">
        <v>25.592187500000307</v>
      </c>
      <c r="D315" s="11">
        <v>-34.422164801211338</v>
      </c>
      <c r="E315" s="11">
        <v>187.12499999999997</v>
      </c>
      <c r="F315" s="11">
        <v>24.193750000000012</v>
      </c>
      <c r="G315" s="11">
        <v>-32.000000000001634</v>
      </c>
      <c r="J315" s="11">
        <v>313</v>
      </c>
      <c r="K315" s="11">
        <f t="shared" si="30"/>
        <v>187.12500000000006</v>
      </c>
      <c r="L315" s="11">
        <f t="shared" si="31"/>
        <v>34.422164801211338</v>
      </c>
      <c r="M315" s="11">
        <f t="shared" si="32"/>
        <v>25.592187500000307</v>
      </c>
      <c r="N315" s="11">
        <f t="shared" si="33"/>
        <v>187.12499999999997</v>
      </c>
      <c r="O315" s="11">
        <f t="shared" si="34"/>
        <v>32.000000000001634</v>
      </c>
      <c r="P315" s="11">
        <f t="shared" si="35"/>
        <v>24.193750000000012</v>
      </c>
    </row>
    <row r="316" spans="1:16">
      <c r="A316" s="11">
        <v>314</v>
      </c>
      <c r="B316" s="11">
        <v>187.125</v>
      </c>
      <c r="C316" s="11">
        <v>29.787500000000161</v>
      </c>
      <c r="D316" s="11">
        <v>-32.000000000001506</v>
      </c>
      <c r="E316" s="11">
        <v>187.12500000000006</v>
      </c>
      <c r="F316" s="11">
        <v>25.592187500000307</v>
      </c>
      <c r="G316" s="11">
        <v>-34.422164801211338</v>
      </c>
      <c r="J316" s="11">
        <v>314</v>
      </c>
      <c r="K316" s="11">
        <f t="shared" si="30"/>
        <v>187.125</v>
      </c>
      <c r="L316" s="11">
        <f t="shared" si="31"/>
        <v>32.000000000001506</v>
      </c>
      <c r="M316" s="11">
        <f t="shared" si="32"/>
        <v>29.787500000000161</v>
      </c>
      <c r="N316" s="11">
        <f t="shared" si="33"/>
        <v>187.12500000000006</v>
      </c>
      <c r="O316" s="11">
        <f t="shared" si="34"/>
        <v>34.422164801211338</v>
      </c>
      <c r="P316" s="11">
        <f t="shared" si="35"/>
        <v>25.592187500000307</v>
      </c>
    </row>
    <row r="317" spans="1:16">
      <c r="A317" s="11">
        <v>315</v>
      </c>
      <c r="B317" s="11">
        <v>204.37500000000006</v>
      </c>
      <c r="C317" s="11">
        <v>25.592187500000307</v>
      </c>
      <c r="D317" s="11">
        <v>-34.42216480121084</v>
      </c>
      <c r="E317" s="11">
        <v>204.37499999999997</v>
      </c>
      <c r="F317" s="11">
        <v>24.193750000000012</v>
      </c>
      <c r="G317" s="11">
        <v>-32.000000000001144</v>
      </c>
      <c r="J317" s="11">
        <v>315</v>
      </c>
      <c r="K317" s="11">
        <f t="shared" si="30"/>
        <v>204.37500000000006</v>
      </c>
      <c r="L317" s="11">
        <f t="shared" si="31"/>
        <v>34.42216480121084</v>
      </c>
      <c r="M317" s="11">
        <f t="shared" si="32"/>
        <v>25.592187500000307</v>
      </c>
      <c r="N317" s="11">
        <f t="shared" si="33"/>
        <v>204.37499999999997</v>
      </c>
      <c r="O317" s="11">
        <f t="shared" si="34"/>
        <v>32.000000000001144</v>
      </c>
      <c r="P317" s="11">
        <f t="shared" si="35"/>
        <v>24.193750000000012</v>
      </c>
    </row>
    <row r="318" spans="1:16">
      <c r="A318" s="11">
        <v>316</v>
      </c>
      <c r="B318" s="11">
        <v>204.375</v>
      </c>
      <c r="C318" s="11">
        <v>29.787500000000161</v>
      </c>
      <c r="D318" s="11">
        <v>-32.000000000001016</v>
      </c>
      <c r="E318" s="11">
        <v>204.37500000000006</v>
      </c>
      <c r="F318" s="11">
        <v>25.592187500000307</v>
      </c>
      <c r="G318" s="11">
        <v>-34.42216480121084</v>
      </c>
      <c r="J318" s="11">
        <v>316</v>
      </c>
      <c r="K318" s="11">
        <f t="shared" si="30"/>
        <v>204.375</v>
      </c>
      <c r="L318" s="11">
        <f t="shared" si="31"/>
        <v>32.000000000001016</v>
      </c>
      <c r="M318" s="11">
        <f t="shared" si="32"/>
        <v>29.787500000000161</v>
      </c>
      <c r="N318" s="11">
        <f t="shared" si="33"/>
        <v>204.37500000000006</v>
      </c>
      <c r="O318" s="11">
        <f t="shared" si="34"/>
        <v>34.42216480121084</v>
      </c>
      <c r="P318" s="11">
        <f t="shared" si="35"/>
        <v>25.592187500000307</v>
      </c>
    </row>
    <row r="319" spans="1:16">
      <c r="A319" s="11">
        <v>317</v>
      </c>
      <c r="B319" s="11">
        <v>221.62500000000006</v>
      </c>
      <c r="C319" s="11">
        <v>25.592187500000307</v>
      </c>
      <c r="D319" s="11">
        <v>-34.422164801210357</v>
      </c>
      <c r="E319" s="11">
        <v>221.62499999999997</v>
      </c>
      <c r="F319" s="11">
        <v>24.193750000000012</v>
      </c>
      <c r="G319" s="11">
        <v>-32.000000000000654</v>
      </c>
      <c r="J319" s="11">
        <v>317</v>
      </c>
      <c r="K319" s="11">
        <f t="shared" si="30"/>
        <v>221.62500000000006</v>
      </c>
      <c r="L319" s="11">
        <f t="shared" si="31"/>
        <v>34.422164801210357</v>
      </c>
      <c r="M319" s="11">
        <f t="shared" si="32"/>
        <v>25.592187500000307</v>
      </c>
      <c r="N319" s="11">
        <f t="shared" si="33"/>
        <v>221.62499999999997</v>
      </c>
      <c r="O319" s="11">
        <f t="shared" si="34"/>
        <v>32.000000000000654</v>
      </c>
      <c r="P319" s="11">
        <f t="shared" si="35"/>
        <v>24.193750000000012</v>
      </c>
    </row>
    <row r="320" spans="1:16">
      <c r="A320" s="11">
        <v>318</v>
      </c>
      <c r="B320" s="11">
        <v>221.625</v>
      </c>
      <c r="C320" s="11">
        <v>29.787500000000161</v>
      </c>
      <c r="D320" s="11">
        <v>-32.000000000000526</v>
      </c>
      <c r="E320" s="11">
        <v>221.62500000000006</v>
      </c>
      <c r="F320" s="11">
        <v>25.592187500000307</v>
      </c>
      <c r="G320" s="11">
        <v>-34.422164801210357</v>
      </c>
      <c r="J320" s="11">
        <v>318</v>
      </c>
      <c r="K320" s="11">
        <f t="shared" si="30"/>
        <v>221.625</v>
      </c>
      <c r="L320" s="11">
        <f t="shared" si="31"/>
        <v>32.000000000000526</v>
      </c>
      <c r="M320" s="11">
        <f t="shared" si="32"/>
        <v>29.787500000000161</v>
      </c>
      <c r="N320" s="11">
        <f t="shared" si="33"/>
        <v>221.62500000000006</v>
      </c>
      <c r="O320" s="11">
        <f t="shared" si="34"/>
        <v>34.422164801210357</v>
      </c>
      <c r="P320" s="11">
        <f t="shared" si="35"/>
        <v>25.592187500000307</v>
      </c>
    </row>
    <row r="321" spans="1:16">
      <c r="A321" s="11">
        <v>319</v>
      </c>
      <c r="B321" s="11">
        <v>238.87500000000006</v>
      </c>
      <c r="C321" s="11">
        <v>25.592187500000158</v>
      </c>
      <c r="D321" s="11">
        <v>-34.422164801209988</v>
      </c>
      <c r="E321" s="11">
        <v>238.87499999999997</v>
      </c>
      <c r="F321" s="11">
        <v>24.193749999999863</v>
      </c>
      <c r="G321" s="11">
        <v>-32.000000000000291</v>
      </c>
      <c r="J321" s="11">
        <v>319</v>
      </c>
      <c r="K321" s="11">
        <f t="shared" si="30"/>
        <v>238.87500000000006</v>
      </c>
      <c r="L321" s="11">
        <f t="shared" si="31"/>
        <v>34.422164801209988</v>
      </c>
      <c r="M321" s="11">
        <f t="shared" si="32"/>
        <v>25.592187500000158</v>
      </c>
      <c r="N321" s="11">
        <f t="shared" si="33"/>
        <v>238.87499999999997</v>
      </c>
      <c r="O321" s="11">
        <f t="shared" si="34"/>
        <v>32.000000000000291</v>
      </c>
      <c r="P321" s="11">
        <f t="shared" si="35"/>
        <v>24.193749999999863</v>
      </c>
    </row>
    <row r="322" spans="1:16">
      <c r="A322" s="11">
        <v>320</v>
      </c>
      <c r="B322" s="11">
        <v>238.875</v>
      </c>
      <c r="C322" s="11">
        <v>29.787500000000012</v>
      </c>
      <c r="D322" s="11">
        <v>-32.000000000000163</v>
      </c>
      <c r="E322" s="11">
        <v>238.87500000000006</v>
      </c>
      <c r="F322" s="11">
        <v>25.592187500000158</v>
      </c>
      <c r="G322" s="11">
        <v>-34.422164801209988</v>
      </c>
      <c r="J322" s="11">
        <v>320</v>
      </c>
      <c r="K322" s="11">
        <f t="shared" si="30"/>
        <v>238.875</v>
      </c>
      <c r="L322" s="11">
        <f t="shared" si="31"/>
        <v>32.000000000000163</v>
      </c>
      <c r="M322" s="11">
        <f t="shared" si="32"/>
        <v>29.787500000000012</v>
      </c>
      <c r="N322" s="11">
        <f t="shared" si="33"/>
        <v>238.87500000000006</v>
      </c>
      <c r="O322" s="11">
        <f t="shared" si="34"/>
        <v>34.422164801209988</v>
      </c>
      <c r="P322" s="11">
        <f t="shared" si="35"/>
        <v>25.592187500000158</v>
      </c>
    </row>
    <row r="323" spans="1:16">
      <c r="A323" s="11">
        <v>321</v>
      </c>
      <c r="B323" s="11">
        <v>14.624999999999828</v>
      </c>
      <c r="C323" s="11">
        <v>25.592187500000271</v>
      </c>
      <c r="D323" s="11">
        <v>2.4221648012099948</v>
      </c>
      <c r="E323" s="11">
        <v>5.9999999999999174</v>
      </c>
      <c r="F323" s="11">
        <v>29.787500000000041</v>
      </c>
      <c r="G323" s="11">
        <v>-1.4210854715202004E-14</v>
      </c>
      <c r="J323" s="11">
        <v>321</v>
      </c>
      <c r="K323" s="11">
        <f t="shared" si="30"/>
        <v>14.624999999999828</v>
      </c>
      <c r="L323" s="11">
        <f t="shared" si="31"/>
        <v>-2.4221648012099948</v>
      </c>
      <c r="M323" s="11">
        <f t="shared" si="32"/>
        <v>25.592187500000271</v>
      </c>
      <c r="N323" s="11">
        <f t="shared" si="33"/>
        <v>5.9999999999999174</v>
      </c>
      <c r="O323" s="11">
        <f t="shared" si="34"/>
        <v>1.4210854715202004E-14</v>
      </c>
      <c r="P323" s="11">
        <f t="shared" si="35"/>
        <v>29.787500000000041</v>
      </c>
    </row>
    <row r="324" spans="1:16">
      <c r="A324" s="11">
        <v>322</v>
      </c>
      <c r="B324" s="11">
        <v>14.624999999999828</v>
      </c>
      <c r="C324" s="11">
        <v>25.592187500000271</v>
      </c>
      <c r="D324" s="11">
        <v>2.4221648012099948</v>
      </c>
      <c r="E324" s="11">
        <v>238.87500000000003</v>
      </c>
      <c r="F324" s="11">
        <v>25.592187500000158</v>
      </c>
      <c r="G324" s="11">
        <v>2.4221648012103643</v>
      </c>
      <c r="J324" s="11">
        <v>322</v>
      </c>
      <c r="K324" s="11">
        <f t="shared" ref="K324:K387" si="36">$Y$11*B324+$Z$11*C324+$AA$11*D324</f>
        <v>14.624999999999828</v>
      </c>
      <c r="L324" s="11">
        <f t="shared" ref="L324:L387" si="37">$Y$12*B324+$Z$12*C324+$AA$12*D324</f>
        <v>-2.4221648012099948</v>
      </c>
      <c r="M324" s="11">
        <f t="shared" ref="M324:M387" si="38">$Y$13*B324+$Z$13*C324+$AA$13*D324</f>
        <v>25.592187500000271</v>
      </c>
      <c r="N324" s="11">
        <f t="shared" ref="N324:N387" si="39">$Y$11*E324+$Z$11*F324+$AA$11*G324</f>
        <v>238.87500000000003</v>
      </c>
      <c r="O324" s="11">
        <f t="shared" ref="O324:O387" si="40">$Y$12*E324+$Z$12*F324+$AA$12*G324</f>
        <v>-2.4221648012103643</v>
      </c>
      <c r="P324" s="11">
        <f t="shared" ref="P324:P387" si="41">$Y$13*E324+$Z$13*F324+$AA$13*G324</f>
        <v>25.592187500000158</v>
      </c>
    </row>
    <row r="325" spans="1:16">
      <c r="A325" s="11">
        <v>323</v>
      </c>
      <c r="B325" s="11">
        <v>238.87500000000006</v>
      </c>
      <c r="C325" s="11">
        <v>25.592187500000133</v>
      </c>
      <c r="D325" s="11">
        <v>2.4221648012103927</v>
      </c>
      <c r="E325" s="11">
        <v>247.49999999999983</v>
      </c>
      <c r="F325" s="11">
        <v>29.787499999998978</v>
      </c>
      <c r="G325" s="11">
        <v>2.7000623958883807E-13</v>
      </c>
      <c r="J325" s="11">
        <v>323</v>
      </c>
      <c r="K325" s="11">
        <f t="shared" si="36"/>
        <v>238.87500000000006</v>
      </c>
      <c r="L325" s="11">
        <f t="shared" si="37"/>
        <v>-2.4221648012103927</v>
      </c>
      <c r="M325" s="11">
        <f t="shared" si="38"/>
        <v>25.592187500000133</v>
      </c>
      <c r="N325" s="11">
        <f t="shared" si="39"/>
        <v>247.49999999999983</v>
      </c>
      <c r="O325" s="11">
        <f t="shared" si="40"/>
        <v>-2.7000623958883807E-13</v>
      </c>
      <c r="P325" s="11">
        <f t="shared" si="41"/>
        <v>29.787499999998978</v>
      </c>
    </row>
    <row r="326" spans="1:16">
      <c r="A326" s="11">
        <v>324</v>
      </c>
      <c r="B326" s="11">
        <v>14.624999999999858</v>
      </c>
      <c r="C326" s="11">
        <v>25.592187500000271</v>
      </c>
      <c r="D326" s="11">
        <v>-34.422164801209988</v>
      </c>
      <c r="E326" s="11">
        <v>5.9999999999999432</v>
      </c>
      <c r="F326" s="11">
        <v>29.787500000000041</v>
      </c>
      <c r="G326" s="11">
        <v>-31.999999999999993</v>
      </c>
      <c r="J326" s="11">
        <v>324</v>
      </c>
      <c r="K326" s="11">
        <f t="shared" si="36"/>
        <v>14.624999999999858</v>
      </c>
      <c r="L326" s="11">
        <f t="shared" si="37"/>
        <v>34.422164801209988</v>
      </c>
      <c r="M326" s="11">
        <f t="shared" si="38"/>
        <v>25.592187500000271</v>
      </c>
      <c r="N326" s="11">
        <f t="shared" si="39"/>
        <v>5.9999999999999432</v>
      </c>
      <c r="O326" s="11">
        <f t="shared" si="40"/>
        <v>31.999999999999993</v>
      </c>
      <c r="P326" s="11">
        <f t="shared" si="41"/>
        <v>29.787500000000041</v>
      </c>
    </row>
    <row r="327" spans="1:16">
      <c r="A327" s="11">
        <v>325</v>
      </c>
      <c r="B327" s="11">
        <v>14.624999999999858</v>
      </c>
      <c r="C327" s="11">
        <v>25.592187500000271</v>
      </c>
      <c r="D327" s="11">
        <v>-34.422164801209988</v>
      </c>
      <c r="E327" s="11">
        <v>238.87500000000006</v>
      </c>
      <c r="F327" s="11">
        <v>25.592187500000158</v>
      </c>
      <c r="G327" s="11">
        <v>-34.422164801209988</v>
      </c>
      <c r="J327" s="11">
        <v>325</v>
      </c>
      <c r="K327" s="11">
        <f t="shared" si="36"/>
        <v>14.624999999999858</v>
      </c>
      <c r="L327" s="11">
        <f t="shared" si="37"/>
        <v>34.422164801209988</v>
      </c>
      <c r="M327" s="11">
        <f t="shared" si="38"/>
        <v>25.592187500000271</v>
      </c>
      <c r="N327" s="11">
        <f t="shared" si="39"/>
        <v>238.87500000000006</v>
      </c>
      <c r="O327" s="11">
        <f t="shared" si="40"/>
        <v>34.422164801209988</v>
      </c>
      <c r="P327" s="11">
        <f t="shared" si="41"/>
        <v>25.592187500000158</v>
      </c>
    </row>
    <row r="328" spans="1:16">
      <c r="A328" s="11">
        <v>326</v>
      </c>
      <c r="B328" s="11">
        <v>238.87500000000009</v>
      </c>
      <c r="C328" s="11">
        <v>25.592187500000133</v>
      </c>
      <c r="D328" s="11">
        <v>-34.422164801210016</v>
      </c>
      <c r="E328" s="11">
        <v>247.49999999999986</v>
      </c>
      <c r="F328" s="11">
        <v>29.787499999998978</v>
      </c>
      <c r="G328" s="11">
        <v>-31.999999999999879</v>
      </c>
      <c r="J328" s="11">
        <v>326</v>
      </c>
      <c r="K328" s="11">
        <f t="shared" si="36"/>
        <v>238.87500000000009</v>
      </c>
      <c r="L328" s="11">
        <f t="shared" si="37"/>
        <v>34.422164801210016</v>
      </c>
      <c r="M328" s="11">
        <f t="shared" si="38"/>
        <v>25.592187500000133</v>
      </c>
      <c r="N328" s="11">
        <f t="shared" si="39"/>
        <v>247.49999999999986</v>
      </c>
      <c r="O328" s="11">
        <f t="shared" si="40"/>
        <v>31.999999999999879</v>
      </c>
      <c r="P328" s="11">
        <f t="shared" si="41"/>
        <v>29.787499999998978</v>
      </c>
    </row>
    <row r="329" spans="1:16">
      <c r="A329" s="11">
        <v>327</v>
      </c>
      <c r="B329" s="11">
        <v>106.99999999999898</v>
      </c>
      <c r="C329" s="11">
        <v>25.592187500001216</v>
      </c>
      <c r="D329" s="11">
        <v>-31.999999999999975</v>
      </c>
      <c r="E329" s="11">
        <v>106.99999999997659</v>
      </c>
      <c r="F329" s="11">
        <v>25.592187500004844</v>
      </c>
      <c r="G329" s="11">
        <v>1.4210854715202004E-14</v>
      </c>
      <c r="J329" s="11">
        <v>327</v>
      </c>
      <c r="K329" s="11">
        <f t="shared" si="36"/>
        <v>106.99999999999898</v>
      </c>
      <c r="L329" s="11">
        <f t="shared" si="37"/>
        <v>31.999999999999975</v>
      </c>
      <c r="M329" s="11">
        <f t="shared" si="38"/>
        <v>25.592187500001216</v>
      </c>
      <c r="N329" s="11">
        <f t="shared" si="39"/>
        <v>106.99999999997659</v>
      </c>
      <c r="O329" s="11">
        <f t="shared" si="40"/>
        <v>-1.4210854715202004E-14</v>
      </c>
      <c r="P329" s="11">
        <f t="shared" si="41"/>
        <v>25.592187500004844</v>
      </c>
    </row>
    <row r="330" spans="1:16">
      <c r="A330" s="11">
        <v>328</v>
      </c>
      <c r="B330" s="11">
        <v>111.99999999999902</v>
      </c>
      <c r="C330" s="11">
        <v>25.592187500001216</v>
      </c>
      <c r="D330" s="11">
        <v>-31.999999999999975</v>
      </c>
      <c r="E330" s="11">
        <v>111.99999999997659</v>
      </c>
      <c r="F330" s="11">
        <v>25.592187500004844</v>
      </c>
      <c r="G330" s="11">
        <v>1.5240626796004095E-14</v>
      </c>
      <c r="J330" s="11">
        <v>328</v>
      </c>
      <c r="K330" s="11">
        <f t="shared" si="36"/>
        <v>111.99999999999902</v>
      </c>
      <c r="L330" s="11">
        <f t="shared" si="37"/>
        <v>31.999999999999975</v>
      </c>
      <c r="M330" s="11">
        <f t="shared" si="38"/>
        <v>25.592187500001216</v>
      </c>
      <c r="N330" s="11">
        <f t="shared" si="39"/>
        <v>111.99999999997659</v>
      </c>
      <c r="O330" s="11">
        <f t="shared" si="40"/>
        <v>-1.5240626796004095E-14</v>
      </c>
      <c r="P330" s="11">
        <f t="shared" si="41"/>
        <v>25.592187500004844</v>
      </c>
    </row>
    <row r="331" spans="1:16">
      <c r="A331" s="11">
        <v>329</v>
      </c>
      <c r="B331" s="11">
        <v>106.99999999997659</v>
      </c>
      <c r="C331" s="11">
        <v>25.592187500004844</v>
      </c>
      <c r="D331" s="11">
        <v>1.4210854715202004E-14</v>
      </c>
      <c r="E331" s="11">
        <v>106.9999999999749</v>
      </c>
      <c r="F331" s="11">
        <v>25.592187500005117</v>
      </c>
      <c r="G331" s="11">
        <v>2.4221648012101511</v>
      </c>
      <c r="J331" s="11">
        <v>329</v>
      </c>
      <c r="K331" s="11">
        <f t="shared" si="36"/>
        <v>106.99999999997659</v>
      </c>
      <c r="L331" s="11">
        <f t="shared" si="37"/>
        <v>-1.4210854715202004E-14</v>
      </c>
      <c r="M331" s="11">
        <f t="shared" si="38"/>
        <v>25.592187500004844</v>
      </c>
      <c r="N331" s="11">
        <f t="shared" si="39"/>
        <v>106.9999999999749</v>
      </c>
      <c r="O331" s="11">
        <f t="shared" si="40"/>
        <v>-2.4221648012101511</v>
      </c>
      <c r="P331" s="11">
        <f t="shared" si="41"/>
        <v>25.592187500005117</v>
      </c>
    </row>
    <row r="332" spans="1:16">
      <c r="A332" s="11">
        <v>330</v>
      </c>
      <c r="B332" s="11">
        <v>111.99999999997659</v>
      </c>
      <c r="C332" s="11">
        <v>25.592187500004844</v>
      </c>
      <c r="D332" s="11">
        <v>1.532107773982716E-14</v>
      </c>
      <c r="E332" s="11">
        <v>111.9999999999749</v>
      </c>
      <c r="F332" s="11">
        <v>25.592187500005117</v>
      </c>
      <c r="G332" s="11">
        <v>2.4221648012101511</v>
      </c>
      <c r="J332" s="11">
        <v>330</v>
      </c>
      <c r="K332" s="11">
        <f t="shared" si="36"/>
        <v>111.99999999997659</v>
      </c>
      <c r="L332" s="11">
        <f t="shared" si="37"/>
        <v>-1.532107773982716E-14</v>
      </c>
      <c r="M332" s="11">
        <f t="shared" si="38"/>
        <v>25.592187500004844</v>
      </c>
      <c r="N332" s="11">
        <f t="shared" si="39"/>
        <v>111.9999999999749</v>
      </c>
      <c r="O332" s="11">
        <f t="shared" si="40"/>
        <v>-2.4221648012101511</v>
      </c>
      <c r="P332" s="11">
        <f t="shared" si="41"/>
        <v>25.592187500005117</v>
      </c>
    </row>
    <row r="333" spans="1:16">
      <c r="A333" s="11">
        <v>331</v>
      </c>
      <c r="B333" s="11">
        <v>107.00000000000068</v>
      </c>
      <c r="C333" s="11">
        <v>25.592187500000943</v>
      </c>
      <c r="D333" s="11">
        <v>-34.422164801202754</v>
      </c>
      <c r="E333" s="11">
        <v>106.99999999999898</v>
      </c>
      <c r="F333" s="11">
        <v>25.592187500001216</v>
      </c>
      <c r="G333" s="11">
        <v>-31.999999999999975</v>
      </c>
      <c r="J333" s="11">
        <v>331</v>
      </c>
      <c r="K333" s="11">
        <f t="shared" si="36"/>
        <v>107.00000000000068</v>
      </c>
      <c r="L333" s="11">
        <f t="shared" si="37"/>
        <v>34.422164801202754</v>
      </c>
      <c r="M333" s="11">
        <f t="shared" si="38"/>
        <v>25.592187500000943</v>
      </c>
      <c r="N333" s="11">
        <f t="shared" si="39"/>
        <v>106.99999999999898</v>
      </c>
      <c r="O333" s="11">
        <f t="shared" si="40"/>
        <v>31.999999999999975</v>
      </c>
      <c r="P333" s="11">
        <f t="shared" si="41"/>
        <v>25.592187500001216</v>
      </c>
    </row>
    <row r="334" spans="1:16">
      <c r="A334" s="11">
        <v>332</v>
      </c>
      <c r="B334" s="11">
        <v>112.00000000000068</v>
      </c>
      <c r="C334" s="11">
        <v>25.592187500000943</v>
      </c>
      <c r="D334" s="11">
        <v>-34.422164801202754</v>
      </c>
      <c r="E334" s="11">
        <v>111.99999999999902</v>
      </c>
      <c r="F334" s="11">
        <v>25.592187500001216</v>
      </c>
      <c r="G334" s="11">
        <v>-31.999999999999975</v>
      </c>
      <c r="J334" s="11">
        <v>332</v>
      </c>
      <c r="K334" s="11">
        <f t="shared" si="36"/>
        <v>112.00000000000068</v>
      </c>
      <c r="L334" s="11">
        <f t="shared" si="37"/>
        <v>34.422164801202754</v>
      </c>
      <c r="M334" s="11">
        <f t="shared" si="38"/>
        <v>25.592187500000943</v>
      </c>
      <c r="N334" s="11">
        <f t="shared" si="39"/>
        <v>111.99999999999902</v>
      </c>
      <c r="O334" s="11">
        <f t="shared" si="40"/>
        <v>31.999999999999975</v>
      </c>
      <c r="P334" s="11">
        <f t="shared" si="41"/>
        <v>25.592187500001216</v>
      </c>
    </row>
    <row r="335" spans="1:16">
      <c r="A335" s="11">
        <v>333</v>
      </c>
      <c r="B335" s="11">
        <v>243.18750000000006</v>
      </c>
      <c r="C335" s="11">
        <v>26.990624999999998</v>
      </c>
      <c r="D335" s="11">
        <v>4.9737991503207013E-14</v>
      </c>
      <c r="E335" s="11">
        <v>243.18750000000006</v>
      </c>
      <c r="F335" s="11">
        <v>26.990625000000037</v>
      </c>
      <c r="G335" s="11">
        <v>-31.999999999999943</v>
      </c>
      <c r="J335" s="11">
        <v>333</v>
      </c>
      <c r="K335" s="11">
        <f t="shared" si="36"/>
        <v>243.18750000000006</v>
      </c>
      <c r="L335" s="11">
        <f t="shared" si="37"/>
        <v>-4.9737991503207013E-14</v>
      </c>
      <c r="M335" s="11">
        <f t="shared" si="38"/>
        <v>26.990624999999998</v>
      </c>
      <c r="N335" s="11">
        <f t="shared" si="39"/>
        <v>243.18750000000006</v>
      </c>
      <c r="O335" s="11">
        <f t="shared" si="40"/>
        <v>31.999999999999943</v>
      </c>
      <c r="P335" s="11">
        <f t="shared" si="41"/>
        <v>26.990625000000037</v>
      </c>
    </row>
    <row r="336" spans="1:16">
      <c r="A336" s="11">
        <v>334</v>
      </c>
      <c r="B336" s="11">
        <v>247.50000000000006</v>
      </c>
      <c r="C336" s="11">
        <v>29.787499999999998</v>
      </c>
      <c r="D336" s="11">
        <v>5.6843418860808015E-14</v>
      </c>
      <c r="E336" s="11">
        <v>247.49999999999986</v>
      </c>
      <c r="F336" s="11">
        <v>29.787499999998978</v>
      </c>
      <c r="G336" s="11">
        <v>-31.999999999999993</v>
      </c>
      <c r="J336" s="11">
        <v>334</v>
      </c>
      <c r="K336" s="11">
        <f t="shared" si="36"/>
        <v>247.50000000000006</v>
      </c>
      <c r="L336" s="11">
        <f t="shared" si="37"/>
        <v>-5.6843418860808015E-14</v>
      </c>
      <c r="M336" s="11">
        <f t="shared" si="38"/>
        <v>29.787499999999998</v>
      </c>
      <c r="N336" s="11">
        <f t="shared" si="39"/>
        <v>247.49999999999986</v>
      </c>
      <c r="O336" s="11">
        <f t="shared" si="40"/>
        <v>31.999999999999993</v>
      </c>
      <c r="P336" s="11">
        <f t="shared" si="41"/>
        <v>29.787499999998978</v>
      </c>
    </row>
    <row r="337" spans="1:16">
      <c r="A337" s="11">
        <v>335</v>
      </c>
      <c r="B337" s="11">
        <v>109.49999999997493</v>
      </c>
      <c r="C337" s="11">
        <v>25.592187500005117</v>
      </c>
      <c r="D337" s="11">
        <v>-34.422164801209988</v>
      </c>
      <c r="E337" s="11">
        <v>106.99999999999898</v>
      </c>
      <c r="F337" s="11">
        <v>25.592187500001216</v>
      </c>
      <c r="G337" s="11">
        <v>-31.999999999999975</v>
      </c>
      <c r="J337" s="11">
        <v>335</v>
      </c>
      <c r="K337" s="11">
        <f t="shared" si="36"/>
        <v>109.49999999997493</v>
      </c>
      <c r="L337" s="11">
        <f t="shared" si="37"/>
        <v>34.422164801209988</v>
      </c>
      <c r="M337" s="11">
        <f t="shared" si="38"/>
        <v>25.592187500005117</v>
      </c>
      <c r="N337" s="11">
        <f t="shared" si="39"/>
        <v>106.99999999999898</v>
      </c>
      <c r="O337" s="11">
        <f t="shared" si="40"/>
        <v>31.999999999999975</v>
      </c>
      <c r="P337" s="11">
        <f t="shared" si="41"/>
        <v>25.592187500001216</v>
      </c>
    </row>
    <row r="338" spans="1:16">
      <c r="A338" s="11">
        <v>336</v>
      </c>
      <c r="B338" s="11">
        <v>109.50000000000068</v>
      </c>
      <c r="C338" s="11">
        <v>25.592187500000222</v>
      </c>
      <c r="D338" s="11">
        <v>-34.422164801203166</v>
      </c>
      <c r="E338" s="11">
        <v>111.99999999999902</v>
      </c>
      <c r="F338" s="11">
        <v>25.592187500001216</v>
      </c>
      <c r="G338" s="11">
        <v>-31.999999999999975</v>
      </c>
      <c r="J338" s="11">
        <v>336</v>
      </c>
      <c r="K338" s="11">
        <f t="shared" si="36"/>
        <v>109.50000000000068</v>
      </c>
      <c r="L338" s="11">
        <f t="shared" si="37"/>
        <v>34.422164801203166</v>
      </c>
      <c r="M338" s="11">
        <f t="shared" si="38"/>
        <v>25.592187500000222</v>
      </c>
      <c r="N338" s="11">
        <f t="shared" si="39"/>
        <v>111.99999999999902</v>
      </c>
      <c r="O338" s="11">
        <f t="shared" si="40"/>
        <v>31.999999999999975</v>
      </c>
      <c r="P338" s="11">
        <f t="shared" si="41"/>
        <v>25.592187500001216</v>
      </c>
    </row>
    <row r="339" spans="1:16">
      <c r="A339" s="11">
        <v>337</v>
      </c>
      <c r="B339" s="11">
        <v>109.50000000000065</v>
      </c>
      <c r="C339" s="11">
        <v>25.592187500005117</v>
      </c>
      <c r="D339" s="11">
        <v>2.4221648011852026</v>
      </c>
      <c r="E339" s="11">
        <v>106.99999999997659</v>
      </c>
      <c r="F339" s="11">
        <v>25.592187500004844</v>
      </c>
      <c r="G339" s="11">
        <v>1.4210854715202004E-14</v>
      </c>
      <c r="J339" s="11">
        <v>337</v>
      </c>
      <c r="K339" s="11">
        <f t="shared" si="36"/>
        <v>109.50000000000065</v>
      </c>
      <c r="L339" s="11">
        <f t="shared" si="37"/>
        <v>-2.4221648011852026</v>
      </c>
      <c r="M339" s="11">
        <f t="shared" si="38"/>
        <v>25.592187500005117</v>
      </c>
      <c r="N339" s="11">
        <f t="shared" si="39"/>
        <v>106.99999999997659</v>
      </c>
      <c r="O339" s="11">
        <f t="shared" si="40"/>
        <v>-1.4210854715202004E-14</v>
      </c>
      <c r="P339" s="11">
        <f t="shared" si="41"/>
        <v>25.592187500004844</v>
      </c>
    </row>
    <row r="340" spans="1:16">
      <c r="A340" s="11">
        <v>338</v>
      </c>
      <c r="B340" s="11">
        <v>109.4999999999749</v>
      </c>
      <c r="C340" s="11">
        <v>25.592187500005117</v>
      </c>
      <c r="D340" s="11">
        <v>2.4221648012101511</v>
      </c>
      <c r="E340" s="11">
        <v>111.99999999997659</v>
      </c>
      <c r="F340" s="11">
        <v>25.592187500004844</v>
      </c>
      <c r="G340" s="11">
        <v>1.532107773982716E-14</v>
      </c>
      <c r="J340" s="11">
        <v>338</v>
      </c>
      <c r="K340" s="11">
        <f t="shared" si="36"/>
        <v>109.4999999999749</v>
      </c>
      <c r="L340" s="11">
        <f t="shared" si="37"/>
        <v>-2.4221648012101511</v>
      </c>
      <c r="M340" s="11">
        <f t="shared" si="38"/>
        <v>25.592187500005117</v>
      </c>
      <c r="N340" s="11">
        <f t="shared" si="39"/>
        <v>111.99999999997659</v>
      </c>
      <c r="O340" s="11">
        <f t="shared" si="40"/>
        <v>-1.532107773982716E-14</v>
      </c>
      <c r="P340" s="11">
        <f t="shared" si="41"/>
        <v>25.592187500004844</v>
      </c>
    </row>
    <row r="341" spans="1:16">
      <c r="A341" s="11">
        <v>339</v>
      </c>
      <c r="B341" s="11">
        <v>106.99999999997659</v>
      </c>
      <c r="C341" s="11">
        <v>25.592187500004844</v>
      </c>
      <c r="D341" s="11">
        <v>1.4210854715202004E-14</v>
      </c>
      <c r="E341" s="11">
        <v>111.99999999997659</v>
      </c>
      <c r="F341" s="11">
        <v>25.592187500004844</v>
      </c>
      <c r="G341" s="11">
        <v>1.532107773982716E-14</v>
      </c>
      <c r="J341" s="11">
        <v>339</v>
      </c>
      <c r="K341" s="11">
        <f t="shared" si="36"/>
        <v>106.99999999997659</v>
      </c>
      <c r="L341" s="11">
        <f t="shared" si="37"/>
        <v>-1.4210854715202004E-14</v>
      </c>
      <c r="M341" s="11">
        <f t="shared" si="38"/>
        <v>25.592187500004844</v>
      </c>
      <c r="N341" s="11">
        <f t="shared" si="39"/>
        <v>111.99999999997659</v>
      </c>
      <c r="O341" s="11">
        <f t="shared" si="40"/>
        <v>-1.532107773982716E-14</v>
      </c>
      <c r="P341" s="11">
        <f t="shared" si="41"/>
        <v>25.592187500004844</v>
      </c>
    </row>
    <row r="342" spans="1:16">
      <c r="A342" s="11">
        <v>340</v>
      </c>
      <c r="B342" s="11">
        <v>106.99999999999899</v>
      </c>
      <c r="C342" s="11">
        <v>25.59218750000122</v>
      </c>
      <c r="D342" s="11">
        <v>-31.99999999999995</v>
      </c>
      <c r="E342" s="11">
        <v>111.99999999999902</v>
      </c>
      <c r="F342" s="11">
        <v>25.592187500001216</v>
      </c>
      <c r="G342" s="11">
        <v>-31.99999999999995</v>
      </c>
      <c r="J342" s="11">
        <v>340</v>
      </c>
      <c r="K342" s="11">
        <f t="shared" si="36"/>
        <v>106.99999999999899</v>
      </c>
      <c r="L342" s="11">
        <f t="shared" si="37"/>
        <v>31.99999999999995</v>
      </c>
      <c r="M342" s="11">
        <f t="shared" si="38"/>
        <v>25.59218750000122</v>
      </c>
      <c r="N342" s="11">
        <f t="shared" si="39"/>
        <v>111.99999999999902</v>
      </c>
      <c r="O342" s="11">
        <f t="shared" si="40"/>
        <v>31.99999999999995</v>
      </c>
      <c r="P342" s="11">
        <f t="shared" si="41"/>
        <v>25.592187500001216</v>
      </c>
    </row>
    <row r="343" spans="1:16">
      <c r="A343" s="11">
        <v>341</v>
      </c>
      <c r="B343" s="11">
        <v>111.99999999999619</v>
      </c>
      <c r="C343" s="11">
        <v>25.592187500001671</v>
      </c>
      <c r="D343" s="11">
        <v>-27.999999999999954</v>
      </c>
      <c r="E343" s="11">
        <v>106.99999999999899</v>
      </c>
      <c r="F343" s="11">
        <v>25.59218750000122</v>
      </c>
      <c r="G343" s="11">
        <v>-31.99999999999995</v>
      </c>
      <c r="J343" s="11">
        <v>341</v>
      </c>
      <c r="K343" s="11">
        <f t="shared" si="36"/>
        <v>111.99999999999619</v>
      </c>
      <c r="L343" s="11">
        <f t="shared" si="37"/>
        <v>27.999999999999954</v>
      </c>
      <c r="M343" s="11">
        <f t="shared" si="38"/>
        <v>25.592187500001671</v>
      </c>
      <c r="N343" s="11">
        <f t="shared" si="39"/>
        <v>106.99999999999899</v>
      </c>
      <c r="O343" s="11">
        <f t="shared" si="40"/>
        <v>31.99999999999995</v>
      </c>
      <c r="P343" s="11">
        <f t="shared" si="41"/>
        <v>25.59218750000122</v>
      </c>
    </row>
    <row r="344" spans="1:16">
      <c r="A344" s="11">
        <v>342</v>
      </c>
      <c r="B344" s="11">
        <v>106.99999999999339</v>
      </c>
      <c r="C344" s="11">
        <v>25.592187500002126</v>
      </c>
      <c r="D344" s="11">
        <v>-23.999999999999957</v>
      </c>
      <c r="E344" s="11">
        <v>111.99999999999619</v>
      </c>
      <c r="F344" s="11">
        <v>25.592187500001671</v>
      </c>
      <c r="G344" s="11">
        <v>-27.999999999999954</v>
      </c>
      <c r="J344" s="11">
        <v>342</v>
      </c>
      <c r="K344" s="11">
        <f t="shared" si="36"/>
        <v>106.99999999999339</v>
      </c>
      <c r="L344" s="11">
        <f t="shared" si="37"/>
        <v>23.999999999999957</v>
      </c>
      <c r="M344" s="11">
        <f t="shared" si="38"/>
        <v>25.592187500002126</v>
      </c>
      <c r="N344" s="11">
        <f t="shared" si="39"/>
        <v>111.99999999999619</v>
      </c>
      <c r="O344" s="11">
        <f t="shared" si="40"/>
        <v>27.999999999999954</v>
      </c>
      <c r="P344" s="11">
        <f t="shared" si="41"/>
        <v>25.592187500001671</v>
      </c>
    </row>
    <row r="345" spans="1:16">
      <c r="A345" s="11">
        <v>343</v>
      </c>
      <c r="B345" s="11">
        <v>111.99999999999059</v>
      </c>
      <c r="C345" s="11">
        <v>25.592187500002577</v>
      </c>
      <c r="D345" s="11">
        <v>-19.999999999999964</v>
      </c>
      <c r="E345" s="11">
        <v>106.99999999999339</v>
      </c>
      <c r="F345" s="11">
        <v>25.592187500002126</v>
      </c>
      <c r="G345" s="11">
        <v>-23.999999999999957</v>
      </c>
      <c r="J345" s="11">
        <v>343</v>
      </c>
      <c r="K345" s="11">
        <f t="shared" si="36"/>
        <v>111.99999999999059</v>
      </c>
      <c r="L345" s="11">
        <f t="shared" si="37"/>
        <v>19.999999999999964</v>
      </c>
      <c r="M345" s="11">
        <f t="shared" si="38"/>
        <v>25.592187500002577</v>
      </c>
      <c r="N345" s="11">
        <f t="shared" si="39"/>
        <v>106.99999999999339</v>
      </c>
      <c r="O345" s="11">
        <f t="shared" si="40"/>
        <v>23.999999999999957</v>
      </c>
      <c r="P345" s="11">
        <f t="shared" si="41"/>
        <v>25.592187500002126</v>
      </c>
    </row>
    <row r="346" spans="1:16">
      <c r="A346" s="11">
        <v>344</v>
      </c>
      <c r="B346" s="11">
        <v>106.99999999998779</v>
      </c>
      <c r="C346" s="11">
        <v>25.592187500003032</v>
      </c>
      <c r="D346" s="11">
        <v>-15.999999999999968</v>
      </c>
      <c r="E346" s="11">
        <v>111.99999999999059</v>
      </c>
      <c r="F346" s="11">
        <v>25.592187500002577</v>
      </c>
      <c r="G346" s="11">
        <v>-19.999999999999964</v>
      </c>
      <c r="J346" s="11">
        <v>344</v>
      </c>
      <c r="K346" s="11">
        <f t="shared" si="36"/>
        <v>106.99999999998779</v>
      </c>
      <c r="L346" s="11">
        <f t="shared" si="37"/>
        <v>15.999999999999968</v>
      </c>
      <c r="M346" s="11">
        <f t="shared" si="38"/>
        <v>25.592187500003032</v>
      </c>
      <c r="N346" s="11">
        <f t="shared" si="39"/>
        <v>111.99999999999059</v>
      </c>
      <c r="O346" s="11">
        <f t="shared" si="40"/>
        <v>19.999999999999964</v>
      </c>
      <c r="P346" s="11">
        <f t="shared" si="41"/>
        <v>25.592187500002577</v>
      </c>
    </row>
    <row r="347" spans="1:16">
      <c r="A347" s="11">
        <v>345</v>
      </c>
      <c r="B347" s="11">
        <v>111.99999999998499</v>
      </c>
      <c r="C347" s="11">
        <v>25.592187500003483</v>
      </c>
      <c r="D347" s="11">
        <v>-11.999999999999973</v>
      </c>
      <c r="E347" s="11">
        <v>106.99999999998779</v>
      </c>
      <c r="F347" s="11">
        <v>25.592187500003032</v>
      </c>
      <c r="G347" s="11">
        <v>-15.999999999999968</v>
      </c>
      <c r="J347" s="11">
        <v>345</v>
      </c>
      <c r="K347" s="11">
        <f t="shared" si="36"/>
        <v>111.99999999998499</v>
      </c>
      <c r="L347" s="11">
        <f t="shared" si="37"/>
        <v>11.999999999999973</v>
      </c>
      <c r="M347" s="11">
        <f t="shared" si="38"/>
        <v>25.592187500003483</v>
      </c>
      <c r="N347" s="11">
        <f t="shared" si="39"/>
        <v>106.99999999998779</v>
      </c>
      <c r="O347" s="11">
        <f t="shared" si="40"/>
        <v>15.999999999999968</v>
      </c>
      <c r="P347" s="11">
        <f t="shared" si="41"/>
        <v>25.592187500003032</v>
      </c>
    </row>
    <row r="348" spans="1:16">
      <c r="A348" s="11">
        <v>346</v>
      </c>
      <c r="B348" s="11">
        <v>106.99999999998219</v>
      </c>
      <c r="C348" s="11">
        <v>25.592187500003938</v>
      </c>
      <c r="D348" s="11">
        <v>-7.9999999999999769</v>
      </c>
      <c r="E348" s="11">
        <v>111.99999999998499</v>
      </c>
      <c r="F348" s="11">
        <v>25.592187500003483</v>
      </c>
      <c r="G348" s="11">
        <v>-11.999999999999973</v>
      </c>
      <c r="J348" s="11">
        <v>346</v>
      </c>
      <c r="K348" s="11">
        <f t="shared" si="36"/>
        <v>106.99999999998219</v>
      </c>
      <c r="L348" s="11">
        <f t="shared" si="37"/>
        <v>7.9999999999999769</v>
      </c>
      <c r="M348" s="11">
        <f t="shared" si="38"/>
        <v>25.592187500003938</v>
      </c>
      <c r="N348" s="11">
        <f t="shared" si="39"/>
        <v>111.99999999998499</v>
      </c>
      <c r="O348" s="11">
        <f t="shared" si="40"/>
        <v>11.999999999999973</v>
      </c>
      <c r="P348" s="11">
        <f t="shared" si="41"/>
        <v>25.592187500003483</v>
      </c>
    </row>
    <row r="349" spans="1:16">
      <c r="A349" s="11">
        <v>347</v>
      </c>
      <c r="B349" s="11">
        <v>111.99999999997939</v>
      </c>
      <c r="C349" s="11">
        <v>25.592187500004389</v>
      </c>
      <c r="D349" s="11">
        <v>-3.9999999999999822</v>
      </c>
      <c r="E349" s="11">
        <v>106.99999999998219</v>
      </c>
      <c r="F349" s="11">
        <v>25.592187500003938</v>
      </c>
      <c r="G349" s="11">
        <v>-7.9999999999999769</v>
      </c>
      <c r="J349" s="11">
        <v>347</v>
      </c>
      <c r="K349" s="11">
        <f t="shared" si="36"/>
        <v>111.99999999997939</v>
      </c>
      <c r="L349" s="11">
        <f t="shared" si="37"/>
        <v>3.9999999999999822</v>
      </c>
      <c r="M349" s="11">
        <f t="shared" si="38"/>
        <v>25.592187500004389</v>
      </c>
      <c r="N349" s="11">
        <f t="shared" si="39"/>
        <v>106.99999999998219</v>
      </c>
      <c r="O349" s="11">
        <f t="shared" si="40"/>
        <v>7.9999999999999769</v>
      </c>
      <c r="P349" s="11">
        <f t="shared" si="41"/>
        <v>25.592187500003938</v>
      </c>
    </row>
    <row r="350" spans="1:16">
      <c r="A350" s="11">
        <v>348</v>
      </c>
      <c r="B350" s="11">
        <v>106.99999999997659</v>
      </c>
      <c r="C350" s="11">
        <v>25.592187500004844</v>
      </c>
      <c r="D350" s="11">
        <v>1.4210854715202004E-14</v>
      </c>
      <c r="E350" s="11">
        <v>111.99999999997939</v>
      </c>
      <c r="F350" s="11">
        <v>25.592187500004389</v>
      </c>
      <c r="G350" s="11">
        <v>-3.9999999999999822</v>
      </c>
      <c r="J350" s="11">
        <v>348</v>
      </c>
      <c r="K350" s="11">
        <f t="shared" si="36"/>
        <v>106.99999999997659</v>
      </c>
      <c r="L350" s="11">
        <f t="shared" si="37"/>
        <v>-1.4210854715202004E-14</v>
      </c>
      <c r="M350" s="11">
        <f t="shared" si="38"/>
        <v>25.592187500004844</v>
      </c>
      <c r="N350" s="11">
        <f t="shared" si="39"/>
        <v>111.99999999997939</v>
      </c>
      <c r="O350" s="11">
        <f t="shared" si="40"/>
        <v>3.9999999999999822</v>
      </c>
      <c r="P350" s="11">
        <f t="shared" si="41"/>
        <v>25.592187500004389</v>
      </c>
    </row>
    <row r="351" spans="1:16">
      <c r="A351" s="11">
        <v>349</v>
      </c>
      <c r="B351" s="11">
        <v>243.18750000000006</v>
      </c>
      <c r="C351" s="11">
        <v>26.990625000000033</v>
      </c>
      <c r="D351" s="11">
        <v>-27.999999999999947</v>
      </c>
      <c r="E351" s="11">
        <v>247.5</v>
      </c>
      <c r="F351" s="11">
        <v>29.787500000000012</v>
      </c>
      <c r="G351" s="11">
        <v>-31.999999999999936</v>
      </c>
      <c r="J351" s="11">
        <v>349</v>
      </c>
      <c r="K351" s="11">
        <f t="shared" si="36"/>
        <v>243.18750000000006</v>
      </c>
      <c r="L351" s="11">
        <f t="shared" si="37"/>
        <v>27.999999999999947</v>
      </c>
      <c r="M351" s="11">
        <f t="shared" si="38"/>
        <v>26.990625000000033</v>
      </c>
      <c r="N351" s="11">
        <f t="shared" si="39"/>
        <v>247.5</v>
      </c>
      <c r="O351" s="11">
        <f t="shared" si="40"/>
        <v>31.999999999999936</v>
      </c>
      <c r="P351" s="11">
        <f t="shared" si="41"/>
        <v>29.787500000000012</v>
      </c>
    </row>
    <row r="352" spans="1:16">
      <c r="A352" s="11">
        <v>350</v>
      </c>
      <c r="B352" s="11">
        <v>247.49999999999991</v>
      </c>
      <c r="C352" s="11">
        <v>29.787499999999234</v>
      </c>
      <c r="D352" s="11">
        <v>-23.999999999999979</v>
      </c>
      <c r="E352" s="11">
        <v>243.18750000000006</v>
      </c>
      <c r="F352" s="11">
        <v>26.990625000000033</v>
      </c>
      <c r="G352" s="11">
        <v>-27.999999999999947</v>
      </c>
      <c r="J352" s="11">
        <v>350</v>
      </c>
      <c r="K352" s="11">
        <f t="shared" si="36"/>
        <v>247.49999999999991</v>
      </c>
      <c r="L352" s="11">
        <f t="shared" si="37"/>
        <v>23.999999999999979</v>
      </c>
      <c r="M352" s="11">
        <f t="shared" si="38"/>
        <v>29.787499999999234</v>
      </c>
      <c r="N352" s="11">
        <f t="shared" si="39"/>
        <v>243.18750000000006</v>
      </c>
      <c r="O352" s="11">
        <f t="shared" si="40"/>
        <v>27.999999999999947</v>
      </c>
      <c r="P352" s="11">
        <f t="shared" si="41"/>
        <v>26.990625000000033</v>
      </c>
    </row>
    <row r="353" spans="1:16">
      <c r="A353" s="11">
        <v>351</v>
      </c>
      <c r="B353" s="11">
        <v>243.18750000000006</v>
      </c>
      <c r="C353" s="11">
        <v>26.990625000000023</v>
      </c>
      <c r="D353" s="11">
        <v>-19.999999999999947</v>
      </c>
      <c r="E353" s="11">
        <v>247.49999999999991</v>
      </c>
      <c r="F353" s="11">
        <v>29.787499999999234</v>
      </c>
      <c r="G353" s="11">
        <v>-23.999999999999979</v>
      </c>
      <c r="J353" s="11">
        <v>351</v>
      </c>
      <c r="K353" s="11">
        <f t="shared" si="36"/>
        <v>243.18750000000006</v>
      </c>
      <c r="L353" s="11">
        <f t="shared" si="37"/>
        <v>19.999999999999947</v>
      </c>
      <c r="M353" s="11">
        <f t="shared" si="38"/>
        <v>26.990625000000023</v>
      </c>
      <c r="N353" s="11">
        <f t="shared" si="39"/>
        <v>247.49999999999991</v>
      </c>
      <c r="O353" s="11">
        <f t="shared" si="40"/>
        <v>23.999999999999979</v>
      </c>
      <c r="P353" s="11">
        <f t="shared" si="41"/>
        <v>29.787499999999234</v>
      </c>
    </row>
    <row r="354" spans="1:16">
      <c r="A354" s="11">
        <v>352</v>
      </c>
      <c r="B354" s="11">
        <v>247.49999999999994</v>
      </c>
      <c r="C354" s="11">
        <v>29.78749999999949</v>
      </c>
      <c r="D354" s="11">
        <v>-15.999999999999968</v>
      </c>
      <c r="E354" s="11">
        <v>243.18750000000006</v>
      </c>
      <c r="F354" s="11">
        <v>26.990625000000023</v>
      </c>
      <c r="G354" s="11">
        <v>-19.999999999999947</v>
      </c>
      <c r="J354" s="11">
        <v>352</v>
      </c>
      <c r="K354" s="11">
        <f t="shared" si="36"/>
        <v>247.49999999999994</v>
      </c>
      <c r="L354" s="11">
        <f t="shared" si="37"/>
        <v>15.999999999999968</v>
      </c>
      <c r="M354" s="11">
        <f t="shared" si="38"/>
        <v>29.78749999999949</v>
      </c>
      <c r="N354" s="11">
        <f t="shared" si="39"/>
        <v>243.18750000000006</v>
      </c>
      <c r="O354" s="11">
        <f t="shared" si="40"/>
        <v>19.999999999999947</v>
      </c>
      <c r="P354" s="11">
        <f t="shared" si="41"/>
        <v>26.990625000000023</v>
      </c>
    </row>
    <row r="355" spans="1:16">
      <c r="A355" s="11">
        <v>353</v>
      </c>
      <c r="B355" s="11">
        <v>243.18750000000006</v>
      </c>
      <c r="C355" s="11">
        <v>26.990625000000012</v>
      </c>
      <c r="D355" s="11">
        <v>-11.999999999999947</v>
      </c>
      <c r="E355" s="11">
        <v>247.49999999999994</v>
      </c>
      <c r="F355" s="11">
        <v>29.78749999999949</v>
      </c>
      <c r="G355" s="11">
        <v>-15.999999999999968</v>
      </c>
      <c r="J355" s="11">
        <v>353</v>
      </c>
      <c r="K355" s="11">
        <f t="shared" si="36"/>
        <v>243.18750000000006</v>
      </c>
      <c r="L355" s="11">
        <f t="shared" si="37"/>
        <v>11.999999999999947</v>
      </c>
      <c r="M355" s="11">
        <f t="shared" si="38"/>
        <v>26.990625000000012</v>
      </c>
      <c r="N355" s="11">
        <f t="shared" si="39"/>
        <v>247.49999999999994</v>
      </c>
      <c r="O355" s="11">
        <f t="shared" si="40"/>
        <v>15.999999999999968</v>
      </c>
      <c r="P355" s="11">
        <f t="shared" si="41"/>
        <v>29.78749999999949</v>
      </c>
    </row>
    <row r="356" spans="1:16">
      <c r="A356" s="11">
        <v>354</v>
      </c>
      <c r="B356" s="11">
        <v>247.5</v>
      </c>
      <c r="C356" s="11">
        <v>29.787499999999742</v>
      </c>
      <c r="D356" s="11">
        <v>-7.9999999999999556</v>
      </c>
      <c r="E356" s="11">
        <v>243.18750000000006</v>
      </c>
      <c r="F356" s="11">
        <v>26.990625000000012</v>
      </c>
      <c r="G356" s="11">
        <v>-11.999999999999947</v>
      </c>
      <c r="J356" s="11">
        <v>354</v>
      </c>
      <c r="K356" s="11">
        <f t="shared" si="36"/>
        <v>247.5</v>
      </c>
      <c r="L356" s="11">
        <f t="shared" si="37"/>
        <v>7.9999999999999556</v>
      </c>
      <c r="M356" s="11">
        <f t="shared" si="38"/>
        <v>29.787499999999742</v>
      </c>
      <c r="N356" s="11">
        <f t="shared" si="39"/>
        <v>243.18750000000006</v>
      </c>
      <c r="O356" s="11">
        <f t="shared" si="40"/>
        <v>11.999999999999947</v>
      </c>
      <c r="P356" s="11">
        <f t="shared" si="41"/>
        <v>26.990625000000012</v>
      </c>
    </row>
    <row r="357" spans="1:16">
      <c r="A357" s="11">
        <v>355</v>
      </c>
      <c r="B357" s="11">
        <v>243.18750000000006</v>
      </c>
      <c r="C357" s="11">
        <v>26.990625000000001</v>
      </c>
      <c r="D357" s="11">
        <v>-3.9999999999999494</v>
      </c>
      <c r="E357" s="11">
        <v>247.5</v>
      </c>
      <c r="F357" s="11">
        <v>29.787499999999742</v>
      </c>
      <c r="G357" s="11">
        <v>-7.9999999999999556</v>
      </c>
      <c r="J357" s="11">
        <v>355</v>
      </c>
      <c r="K357" s="11">
        <f t="shared" si="36"/>
        <v>243.18750000000006</v>
      </c>
      <c r="L357" s="11">
        <f t="shared" si="37"/>
        <v>3.9999999999999494</v>
      </c>
      <c r="M357" s="11">
        <f t="shared" si="38"/>
        <v>26.990625000000001</v>
      </c>
      <c r="N357" s="11">
        <f t="shared" si="39"/>
        <v>247.5</v>
      </c>
      <c r="O357" s="11">
        <f t="shared" si="40"/>
        <v>7.9999999999999556</v>
      </c>
      <c r="P357" s="11">
        <f t="shared" si="41"/>
        <v>29.787499999999742</v>
      </c>
    </row>
    <row r="358" spans="1:16">
      <c r="A358" s="11">
        <v>356</v>
      </c>
      <c r="B358" s="11">
        <v>247.50000000000006</v>
      </c>
      <c r="C358" s="11">
        <v>29.787499999999998</v>
      </c>
      <c r="D358" s="11">
        <v>5.6843418860808015E-14</v>
      </c>
      <c r="E358" s="11">
        <v>243.18750000000006</v>
      </c>
      <c r="F358" s="11">
        <v>26.990625000000001</v>
      </c>
      <c r="G358" s="11">
        <v>-3.9999999999999494</v>
      </c>
      <c r="J358" s="11">
        <v>356</v>
      </c>
      <c r="K358" s="11">
        <f t="shared" si="36"/>
        <v>247.50000000000006</v>
      </c>
      <c r="L358" s="11">
        <f t="shared" si="37"/>
        <v>-5.6843418860808015E-14</v>
      </c>
      <c r="M358" s="11">
        <f t="shared" si="38"/>
        <v>29.787499999999998</v>
      </c>
      <c r="N358" s="11">
        <f t="shared" si="39"/>
        <v>243.18750000000006</v>
      </c>
      <c r="O358" s="11">
        <f t="shared" si="40"/>
        <v>3.9999999999999494</v>
      </c>
      <c r="P358" s="11">
        <f t="shared" si="41"/>
        <v>26.990625000000001</v>
      </c>
    </row>
    <row r="359" spans="1:16">
      <c r="A359" s="11">
        <v>357</v>
      </c>
      <c r="B359" s="11">
        <v>195.74999999999997</v>
      </c>
      <c r="C359" s="11">
        <v>29.787500000000012</v>
      </c>
      <c r="D359" s="11">
        <v>-31.99999999999995</v>
      </c>
      <c r="E359" s="11">
        <v>195.75000000000003</v>
      </c>
      <c r="F359" s="11">
        <v>0</v>
      </c>
      <c r="G359" s="11">
        <v>-31.99999999999995</v>
      </c>
      <c r="J359" s="11">
        <v>357</v>
      </c>
      <c r="K359" s="11">
        <f t="shared" si="36"/>
        <v>195.74999999999997</v>
      </c>
      <c r="L359" s="11">
        <f t="shared" si="37"/>
        <v>31.99999999999995</v>
      </c>
      <c r="M359" s="11">
        <f t="shared" si="38"/>
        <v>29.787500000000012</v>
      </c>
      <c r="N359" s="11">
        <f t="shared" si="39"/>
        <v>195.75000000000003</v>
      </c>
      <c r="O359" s="11">
        <f t="shared" si="40"/>
        <v>31.99999999999995</v>
      </c>
      <c r="P359" s="11">
        <f t="shared" si="41"/>
        <v>0</v>
      </c>
    </row>
    <row r="360" spans="1:16">
      <c r="A360" s="11">
        <v>358</v>
      </c>
      <c r="B360" s="11">
        <v>195.75000000000003</v>
      </c>
      <c r="C360" s="11">
        <v>29.787499999999998</v>
      </c>
      <c r="D360" s="11">
        <v>4.2632564145606011E-14</v>
      </c>
      <c r="E360" s="11">
        <v>195.75000000000009</v>
      </c>
      <c r="F360" s="11">
        <v>-1.4210854715202004E-14</v>
      </c>
      <c r="G360" s="11">
        <v>4.2632564145606011E-14</v>
      </c>
      <c r="J360" s="11">
        <v>358</v>
      </c>
      <c r="K360" s="11">
        <f t="shared" si="36"/>
        <v>195.75000000000003</v>
      </c>
      <c r="L360" s="11">
        <f t="shared" si="37"/>
        <v>-4.2632564145606011E-14</v>
      </c>
      <c r="M360" s="11">
        <f t="shared" si="38"/>
        <v>29.787499999999998</v>
      </c>
      <c r="N360" s="11">
        <f t="shared" si="39"/>
        <v>195.75000000000009</v>
      </c>
      <c r="O360" s="11">
        <f t="shared" si="40"/>
        <v>-4.2632564145606011E-14</v>
      </c>
      <c r="P360" s="11">
        <f t="shared" si="41"/>
        <v>-1.4210854715202004E-14</v>
      </c>
    </row>
    <row r="361" spans="1:16">
      <c r="A361" s="11">
        <v>359</v>
      </c>
      <c r="B361" s="11">
        <v>5.9999999999999432</v>
      </c>
      <c r="C361" s="11">
        <v>29.787500000000041</v>
      </c>
      <c r="D361" s="11">
        <v>-31.999999999999993</v>
      </c>
      <c r="E361" s="11">
        <v>6.0000000000000133</v>
      </c>
      <c r="F361" s="11">
        <v>2.8421709430404007E-14</v>
      </c>
      <c r="G361" s="11">
        <v>-31.999999999999993</v>
      </c>
      <c r="J361" s="11">
        <v>359</v>
      </c>
      <c r="K361" s="11">
        <f t="shared" si="36"/>
        <v>5.9999999999999432</v>
      </c>
      <c r="L361" s="11">
        <f t="shared" si="37"/>
        <v>31.999999999999993</v>
      </c>
      <c r="M361" s="11">
        <f t="shared" si="38"/>
        <v>29.787500000000041</v>
      </c>
      <c r="N361" s="11">
        <f t="shared" si="39"/>
        <v>6.0000000000000133</v>
      </c>
      <c r="O361" s="11">
        <f t="shared" si="40"/>
        <v>31.999999999999993</v>
      </c>
      <c r="P361" s="11">
        <f t="shared" si="41"/>
        <v>2.8421709430404007E-14</v>
      </c>
    </row>
    <row r="362" spans="1:16">
      <c r="A362" s="11">
        <v>360</v>
      </c>
      <c r="B362" s="11">
        <v>6.0000000000000036</v>
      </c>
      <c r="C362" s="11">
        <v>29.787500000000026</v>
      </c>
      <c r="D362" s="11">
        <v>0</v>
      </c>
      <c r="E362" s="11">
        <v>6.0000000000000737</v>
      </c>
      <c r="F362" s="11">
        <v>1.421085471520218E-14</v>
      </c>
      <c r="G362" s="11">
        <v>0</v>
      </c>
      <c r="J362" s="11">
        <v>360</v>
      </c>
      <c r="K362" s="11">
        <f t="shared" si="36"/>
        <v>6.0000000000000036</v>
      </c>
      <c r="L362" s="11">
        <f t="shared" si="37"/>
        <v>0</v>
      </c>
      <c r="M362" s="11">
        <f t="shared" si="38"/>
        <v>29.787500000000026</v>
      </c>
      <c r="N362" s="11">
        <f t="shared" si="39"/>
        <v>6.0000000000000737</v>
      </c>
      <c r="O362" s="11">
        <f t="shared" si="40"/>
        <v>0</v>
      </c>
      <c r="P362" s="11">
        <f t="shared" si="41"/>
        <v>1.421085471520218E-14</v>
      </c>
    </row>
    <row r="363" spans="1:16">
      <c r="A363" s="11">
        <v>361</v>
      </c>
      <c r="B363" s="11">
        <v>199.24999999999986</v>
      </c>
      <c r="C363" s="11">
        <v>22.588245095019797</v>
      </c>
      <c r="D363" s="11">
        <v>-26.999999999949161</v>
      </c>
      <c r="E363" s="11">
        <v>195.74999999999986</v>
      </c>
      <c r="F363" s="11">
        <v>29.787499999999998</v>
      </c>
      <c r="G363" s="11">
        <v>-31.999999999999464</v>
      </c>
      <c r="J363" s="11">
        <v>361</v>
      </c>
      <c r="K363" s="11">
        <f t="shared" si="36"/>
        <v>199.24999999999986</v>
      </c>
      <c r="L363" s="11">
        <f t="shared" si="37"/>
        <v>26.999999999949161</v>
      </c>
      <c r="M363" s="11">
        <f t="shared" si="38"/>
        <v>22.588245095019797</v>
      </c>
      <c r="N363" s="11">
        <f t="shared" si="39"/>
        <v>195.74999999999986</v>
      </c>
      <c r="O363" s="11">
        <f t="shared" si="40"/>
        <v>31.999999999999464</v>
      </c>
      <c r="P363" s="11">
        <f t="shared" si="41"/>
        <v>29.787499999999998</v>
      </c>
    </row>
    <row r="364" spans="1:16">
      <c r="A364" s="11">
        <v>362</v>
      </c>
      <c r="B364" s="11">
        <v>195.74999999999901</v>
      </c>
      <c r="C364" s="11">
        <v>-1.4210854715202004E-14</v>
      </c>
      <c r="D364" s="11">
        <v>-31.999999999999471</v>
      </c>
      <c r="E364" s="11">
        <v>199.24999999999986</v>
      </c>
      <c r="F364" s="11">
        <v>22.588245095019797</v>
      </c>
      <c r="G364" s="11">
        <v>-26.999999999949161</v>
      </c>
      <c r="J364" s="11">
        <v>362</v>
      </c>
      <c r="K364" s="11">
        <f t="shared" si="36"/>
        <v>195.74999999999901</v>
      </c>
      <c r="L364" s="11">
        <f t="shared" si="37"/>
        <v>31.999999999999471</v>
      </c>
      <c r="M364" s="11">
        <f t="shared" si="38"/>
        <v>-1.4210854715202004E-14</v>
      </c>
      <c r="N364" s="11">
        <f t="shared" si="39"/>
        <v>199.24999999999986</v>
      </c>
      <c r="O364" s="11">
        <f t="shared" si="40"/>
        <v>26.999999999949161</v>
      </c>
      <c r="P364" s="11">
        <f t="shared" si="41"/>
        <v>22.588245095019797</v>
      </c>
    </row>
    <row r="365" spans="1:16">
      <c r="A365" s="11">
        <v>363</v>
      </c>
      <c r="B365" s="11">
        <v>199.24999999999997</v>
      </c>
      <c r="C365" s="11">
        <v>22.588245095019797</v>
      </c>
      <c r="D365" s="11">
        <v>-5.0000000000503002</v>
      </c>
      <c r="E365" s="11">
        <v>195.75000000000003</v>
      </c>
      <c r="F365" s="11">
        <v>29.787499999999998</v>
      </c>
      <c r="G365" s="11">
        <v>3.5527136788005009E-14</v>
      </c>
      <c r="J365" s="11">
        <v>363</v>
      </c>
      <c r="K365" s="11">
        <f t="shared" si="36"/>
        <v>199.24999999999997</v>
      </c>
      <c r="L365" s="11">
        <f t="shared" si="37"/>
        <v>5.0000000000503002</v>
      </c>
      <c r="M365" s="11">
        <f t="shared" si="38"/>
        <v>22.588245095019797</v>
      </c>
      <c r="N365" s="11">
        <f t="shared" si="39"/>
        <v>195.75000000000003</v>
      </c>
      <c r="O365" s="11">
        <f t="shared" si="40"/>
        <v>-3.5527136788005009E-14</v>
      </c>
      <c r="P365" s="11">
        <f t="shared" si="41"/>
        <v>29.787499999999998</v>
      </c>
    </row>
    <row r="366" spans="1:16">
      <c r="A366" s="11">
        <v>364</v>
      </c>
      <c r="B366" s="11">
        <v>195.74999999999918</v>
      </c>
      <c r="C366" s="11">
        <v>-1.4210854715202004E-14</v>
      </c>
      <c r="D366" s="11">
        <v>4.2632564145606011E-14</v>
      </c>
      <c r="E366" s="11">
        <v>199.24999999999997</v>
      </c>
      <c r="F366" s="11">
        <v>22.588245095019797</v>
      </c>
      <c r="G366" s="11">
        <v>-5.0000000000503002</v>
      </c>
      <c r="J366" s="11">
        <v>364</v>
      </c>
      <c r="K366" s="11">
        <f t="shared" si="36"/>
        <v>195.74999999999918</v>
      </c>
      <c r="L366" s="11">
        <f t="shared" si="37"/>
        <v>-4.2632564145606011E-14</v>
      </c>
      <c r="M366" s="11">
        <f t="shared" si="38"/>
        <v>-1.4210854715202004E-14</v>
      </c>
      <c r="N366" s="11">
        <f t="shared" si="39"/>
        <v>199.24999999999997</v>
      </c>
      <c r="O366" s="11">
        <f t="shared" si="40"/>
        <v>5.0000000000503002</v>
      </c>
      <c r="P366" s="11">
        <f t="shared" si="41"/>
        <v>22.588245095019797</v>
      </c>
    </row>
    <row r="367" spans="1:16">
      <c r="A367" s="11">
        <v>365</v>
      </c>
      <c r="B367" s="11">
        <v>195.74999999999906</v>
      </c>
      <c r="C367" s="11">
        <v>18.588245095019879</v>
      </c>
      <c r="D367" s="11">
        <v>-26.999999999940208</v>
      </c>
      <c r="E367" s="11">
        <v>195.75000000000003</v>
      </c>
      <c r="F367" s="11">
        <v>0</v>
      </c>
      <c r="G367" s="11">
        <v>-31.99999999999995</v>
      </c>
      <c r="J367" s="11">
        <v>365</v>
      </c>
      <c r="K367" s="11">
        <f t="shared" si="36"/>
        <v>195.74999999999906</v>
      </c>
      <c r="L367" s="11">
        <f t="shared" si="37"/>
        <v>26.999999999940208</v>
      </c>
      <c r="M367" s="11">
        <f t="shared" si="38"/>
        <v>18.588245095019879</v>
      </c>
      <c r="N367" s="11">
        <f t="shared" si="39"/>
        <v>195.75000000000003</v>
      </c>
      <c r="O367" s="11">
        <f t="shared" si="40"/>
        <v>31.99999999999995</v>
      </c>
      <c r="P367" s="11">
        <f t="shared" si="41"/>
        <v>0</v>
      </c>
    </row>
    <row r="368" spans="1:16">
      <c r="A368" s="11">
        <v>366</v>
      </c>
      <c r="B368" s="11">
        <v>195.75000000000006</v>
      </c>
      <c r="C368" s="11">
        <v>22.588245095020007</v>
      </c>
      <c r="D368" s="11">
        <v>-26.99999999999995</v>
      </c>
      <c r="E368" s="11">
        <v>195.74999999999906</v>
      </c>
      <c r="F368" s="11">
        <v>18.588245095019879</v>
      </c>
      <c r="G368" s="11">
        <v>-26.999999999940208</v>
      </c>
      <c r="J368" s="11">
        <v>366</v>
      </c>
      <c r="K368" s="11">
        <f t="shared" si="36"/>
        <v>195.75000000000006</v>
      </c>
      <c r="L368" s="11">
        <f t="shared" si="37"/>
        <v>26.99999999999995</v>
      </c>
      <c r="M368" s="11">
        <f t="shared" si="38"/>
        <v>22.588245095020007</v>
      </c>
      <c r="N368" s="11">
        <f t="shared" si="39"/>
        <v>195.74999999999906</v>
      </c>
      <c r="O368" s="11">
        <f t="shared" si="40"/>
        <v>26.999999999940208</v>
      </c>
      <c r="P368" s="11">
        <f t="shared" si="41"/>
        <v>18.588245095019879</v>
      </c>
    </row>
    <row r="369" spans="1:16">
      <c r="A369" s="11">
        <v>367</v>
      </c>
      <c r="B369" s="11">
        <v>195.74999999999997</v>
      </c>
      <c r="C369" s="11">
        <v>29.787500000000012</v>
      </c>
      <c r="D369" s="11">
        <v>-31.99999999999995</v>
      </c>
      <c r="E369" s="11">
        <v>195.75000000000006</v>
      </c>
      <c r="F369" s="11">
        <v>22.588245095020007</v>
      </c>
      <c r="G369" s="11">
        <v>-26.99999999999995</v>
      </c>
      <c r="J369" s="11">
        <v>367</v>
      </c>
      <c r="K369" s="11">
        <f t="shared" si="36"/>
        <v>195.74999999999997</v>
      </c>
      <c r="L369" s="11">
        <f t="shared" si="37"/>
        <v>31.99999999999995</v>
      </c>
      <c r="M369" s="11">
        <f t="shared" si="38"/>
        <v>29.787500000000012</v>
      </c>
      <c r="N369" s="11">
        <f t="shared" si="39"/>
        <v>195.75000000000006</v>
      </c>
      <c r="O369" s="11">
        <f t="shared" si="40"/>
        <v>26.99999999999995</v>
      </c>
      <c r="P369" s="11">
        <f t="shared" si="41"/>
        <v>22.588245095020007</v>
      </c>
    </row>
    <row r="370" spans="1:16">
      <c r="A370" s="11">
        <v>368</v>
      </c>
      <c r="B370" s="11">
        <v>195.74999999999912</v>
      </c>
      <c r="C370" s="11">
        <v>18.588245095020092</v>
      </c>
      <c r="D370" s="11">
        <v>-4.9999999999999165</v>
      </c>
      <c r="E370" s="11">
        <v>195.74999999999918</v>
      </c>
      <c r="F370" s="11">
        <v>-1.4210854715202004E-14</v>
      </c>
      <c r="G370" s="11">
        <v>4.2632564145606011E-14</v>
      </c>
      <c r="J370" s="11">
        <v>368</v>
      </c>
      <c r="K370" s="11">
        <f t="shared" si="36"/>
        <v>195.74999999999912</v>
      </c>
      <c r="L370" s="11">
        <f t="shared" si="37"/>
        <v>4.9999999999999165</v>
      </c>
      <c r="M370" s="11">
        <f t="shared" si="38"/>
        <v>18.588245095020092</v>
      </c>
      <c r="N370" s="11">
        <f t="shared" si="39"/>
        <v>195.74999999999918</v>
      </c>
      <c r="O370" s="11">
        <f t="shared" si="40"/>
        <v>-4.2632564145606011E-14</v>
      </c>
      <c r="P370" s="11">
        <f t="shared" si="41"/>
        <v>-1.4210854715202004E-14</v>
      </c>
    </row>
    <row r="371" spans="1:16">
      <c r="A371" s="11">
        <v>369</v>
      </c>
      <c r="B371" s="11">
        <v>195.74999999999997</v>
      </c>
      <c r="C371" s="11">
        <v>22.588245095019797</v>
      </c>
      <c r="D371" s="11">
        <v>-4.9999999999999556</v>
      </c>
      <c r="E371" s="11">
        <v>195.74999999999912</v>
      </c>
      <c r="F371" s="11">
        <v>18.588245095020092</v>
      </c>
      <c r="G371" s="11">
        <v>-4.9999999999999165</v>
      </c>
      <c r="J371" s="11">
        <v>369</v>
      </c>
      <c r="K371" s="11">
        <f t="shared" si="36"/>
        <v>195.74999999999997</v>
      </c>
      <c r="L371" s="11">
        <f t="shared" si="37"/>
        <v>4.9999999999999556</v>
      </c>
      <c r="M371" s="11">
        <f t="shared" si="38"/>
        <v>22.588245095019797</v>
      </c>
      <c r="N371" s="11">
        <f t="shared" si="39"/>
        <v>195.74999999999912</v>
      </c>
      <c r="O371" s="11">
        <f t="shared" si="40"/>
        <v>4.9999999999999165</v>
      </c>
      <c r="P371" s="11">
        <f t="shared" si="41"/>
        <v>18.588245095020092</v>
      </c>
    </row>
    <row r="372" spans="1:16">
      <c r="A372" s="11">
        <v>370</v>
      </c>
      <c r="B372" s="11">
        <v>195.75000000000003</v>
      </c>
      <c r="C372" s="11">
        <v>29.787499999999998</v>
      </c>
      <c r="D372" s="11">
        <v>4.2632564145606011E-14</v>
      </c>
      <c r="E372" s="11">
        <v>195.74999999999997</v>
      </c>
      <c r="F372" s="11">
        <v>22.588245095019797</v>
      </c>
      <c r="G372" s="11">
        <v>-4.9999999999999556</v>
      </c>
      <c r="J372" s="11">
        <v>370</v>
      </c>
      <c r="K372" s="11">
        <f t="shared" si="36"/>
        <v>195.75000000000003</v>
      </c>
      <c r="L372" s="11">
        <f t="shared" si="37"/>
        <v>-4.2632564145606011E-14</v>
      </c>
      <c r="M372" s="11">
        <f t="shared" si="38"/>
        <v>29.787499999999998</v>
      </c>
      <c r="N372" s="11">
        <f t="shared" si="39"/>
        <v>195.74999999999997</v>
      </c>
      <c r="O372" s="11">
        <f t="shared" si="40"/>
        <v>4.9999999999999556</v>
      </c>
      <c r="P372" s="11">
        <f t="shared" si="41"/>
        <v>22.588245095019797</v>
      </c>
    </row>
    <row r="373" spans="1:16">
      <c r="A373" s="11">
        <v>371</v>
      </c>
      <c r="B373" s="11">
        <v>5.9999999999990381</v>
      </c>
      <c r="C373" s="11">
        <v>18.588245095019907</v>
      </c>
      <c r="D373" s="11">
        <v>-26.99999999994025</v>
      </c>
      <c r="E373" s="11">
        <v>6.0000000000000133</v>
      </c>
      <c r="F373" s="11">
        <v>2.8421709430404007E-14</v>
      </c>
      <c r="G373" s="11">
        <v>-31.999999999999993</v>
      </c>
      <c r="J373" s="11">
        <v>371</v>
      </c>
      <c r="K373" s="11">
        <f t="shared" si="36"/>
        <v>5.9999999999990381</v>
      </c>
      <c r="L373" s="11">
        <f t="shared" si="37"/>
        <v>26.99999999994025</v>
      </c>
      <c r="M373" s="11">
        <f t="shared" si="38"/>
        <v>18.588245095019907</v>
      </c>
      <c r="N373" s="11">
        <f t="shared" si="39"/>
        <v>6.0000000000000133</v>
      </c>
      <c r="O373" s="11">
        <f t="shared" si="40"/>
        <v>31.999999999999993</v>
      </c>
      <c r="P373" s="11">
        <f t="shared" si="41"/>
        <v>2.8421709430404007E-14</v>
      </c>
    </row>
    <row r="374" spans="1:16">
      <c r="A374" s="11">
        <v>372</v>
      </c>
      <c r="B374" s="11">
        <v>6.0000000000000382</v>
      </c>
      <c r="C374" s="11">
        <v>22.588245095020035</v>
      </c>
      <c r="D374" s="11">
        <v>-26.999999999999993</v>
      </c>
      <c r="E374" s="11">
        <v>5.9999999999990381</v>
      </c>
      <c r="F374" s="11">
        <v>18.588245095019907</v>
      </c>
      <c r="G374" s="11">
        <v>-26.99999999994025</v>
      </c>
      <c r="J374" s="11">
        <v>372</v>
      </c>
      <c r="K374" s="11">
        <f t="shared" si="36"/>
        <v>6.0000000000000382</v>
      </c>
      <c r="L374" s="11">
        <f t="shared" si="37"/>
        <v>26.999999999999993</v>
      </c>
      <c r="M374" s="11">
        <f t="shared" si="38"/>
        <v>22.588245095020035</v>
      </c>
      <c r="N374" s="11">
        <f t="shared" si="39"/>
        <v>5.9999999999990381</v>
      </c>
      <c r="O374" s="11">
        <f t="shared" si="40"/>
        <v>26.99999999994025</v>
      </c>
      <c r="P374" s="11">
        <f t="shared" si="41"/>
        <v>18.588245095019907</v>
      </c>
    </row>
    <row r="375" spans="1:16">
      <c r="A375" s="11">
        <v>373</v>
      </c>
      <c r="B375" s="11">
        <v>5.9999999999999432</v>
      </c>
      <c r="C375" s="11">
        <v>29.787500000000041</v>
      </c>
      <c r="D375" s="11">
        <v>-31.999999999999993</v>
      </c>
      <c r="E375" s="11">
        <v>6.0000000000000382</v>
      </c>
      <c r="F375" s="11">
        <v>22.588245095020035</v>
      </c>
      <c r="G375" s="11">
        <v>-26.999999999999993</v>
      </c>
      <c r="J375" s="11">
        <v>373</v>
      </c>
      <c r="K375" s="11">
        <f t="shared" si="36"/>
        <v>5.9999999999999432</v>
      </c>
      <c r="L375" s="11">
        <f t="shared" si="37"/>
        <v>31.999999999999993</v>
      </c>
      <c r="M375" s="11">
        <f t="shared" si="38"/>
        <v>29.787500000000041</v>
      </c>
      <c r="N375" s="11">
        <f t="shared" si="39"/>
        <v>6.0000000000000382</v>
      </c>
      <c r="O375" s="11">
        <f t="shared" si="40"/>
        <v>26.999999999999993</v>
      </c>
      <c r="P375" s="11">
        <f t="shared" si="41"/>
        <v>22.588245095020035</v>
      </c>
    </row>
    <row r="376" spans="1:16">
      <c r="A376" s="11">
        <v>374</v>
      </c>
      <c r="B376" s="11">
        <v>5.9999999999990958</v>
      </c>
      <c r="C376" s="11">
        <v>18.58824509502012</v>
      </c>
      <c r="D376" s="11">
        <v>-4.9999999999999591</v>
      </c>
      <c r="E376" s="11">
        <v>5.9999999999991402</v>
      </c>
      <c r="F376" s="11">
        <v>1.4210854715199967E-14</v>
      </c>
      <c r="G376" s="11">
        <v>4.098197955248991E-31</v>
      </c>
      <c r="J376" s="11">
        <v>374</v>
      </c>
      <c r="K376" s="11">
        <f t="shared" si="36"/>
        <v>5.9999999999990958</v>
      </c>
      <c r="L376" s="11">
        <f t="shared" si="37"/>
        <v>4.9999999999999591</v>
      </c>
      <c r="M376" s="11">
        <f t="shared" si="38"/>
        <v>18.58824509502012</v>
      </c>
      <c r="N376" s="11">
        <f t="shared" si="39"/>
        <v>5.9999999999991402</v>
      </c>
      <c r="O376" s="11">
        <f t="shared" si="40"/>
        <v>-4.098197955248991E-31</v>
      </c>
      <c r="P376" s="11">
        <f t="shared" si="41"/>
        <v>1.4210854715199967E-14</v>
      </c>
    </row>
    <row r="377" spans="1:16">
      <c r="A377" s="11">
        <v>375</v>
      </c>
      <c r="B377" s="11">
        <v>5.9999999999999476</v>
      </c>
      <c r="C377" s="11">
        <v>22.588245095019825</v>
      </c>
      <c r="D377" s="11">
        <v>-4.9999999999999982</v>
      </c>
      <c r="E377" s="11">
        <v>5.9999999999990958</v>
      </c>
      <c r="F377" s="11">
        <v>18.58824509502012</v>
      </c>
      <c r="G377" s="11">
        <v>-4.9999999999999591</v>
      </c>
      <c r="J377" s="11">
        <v>375</v>
      </c>
      <c r="K377" s="11">
        <f t="shared" si="36"/>
        <v>5.9999999999999476</v>
      </c>
      <c r="L377" s="11">
        <f t="shared" si="37"/>
        <v>4.9999999999999982</v>
      </c>
      <c r="M377" s="11">
        <f t="shared" si="38"/>
        <v>22.588245095019825</v>
      </c>
      <c r="N377" s="11">
        <f t="shared" si="39"/>
        <v>5.9999999999990958</v>
      </c>
      <c r="O377" s="11">
        <f t="shared" si="40"/>
        <v>4.9999999999999591</v>
      </c>
      <c r="P377" s="11">
        <f t="shared" si="41"/>
        <v>18.58824509502012</v>
      </c>
    </row>
    <row r="378" spans="1:16">
      <c r="A378" s="11">
        <v>376</v>
      </c>
      <c r="B378" s="11">
        <v>6.0000000000000036</v>
      </c>
      <c r="C378" s="11">
        <v>29.787500000000026</v>
      </c>
      <c r="D378" s="11">
        <v>0</v>
      </c>
      <c r="E378" s="11">
        <v>5.9999999999999476</v>
      </c>
      <c r="F378" s="11">
        <v>22.588245095019825</v>
      </c>
      <c r="G378" s="11">
        <v>-4.9999999999999982</v>
      </c>
      <c r="J378" s="11">
        <v>376</v>
      </c>
      <c r="K378" s="11">
        <f t="shared" si="36"/>
        <v>6.0000000000000036</v>
      </c>
      <c r="L378" s="11">
        <f t="shared" si="37"/>
        <v>0</v>
      </c>
      <c r="M378" s="11">
        <f t="shared" si="38"/>
        <v>29.787500000000026</v>
      </c>
      <c r="N378" s="11">
        <f t="shared" si="39"/>
        <v>5.9999999999999476</v>
      </c>
      <c r="O378" s="11">
        <f t="shared" si="40"/>
        <v>4.9999999999999982</v>
      </c>
      <c r="P378" s="11">
        <f t="shared" si="41"/>
        <v>22.588245095019825</v>
      </c>
    </row>
    <row r="379" spans="1:16">
      <c r="A379" s="11">
        <v>377</v>
      </c>
      <c r="B379" s="11">
        <v>199.24999999999983</v>
      </c>
      <c r="C379" s="11">
        <v>22.588245095019694</v>
      </c>
      <c r="D379" s="11">
        <v>-21.500000000024798</v>
      </c>
      <c r="E379" s="11">
        <v>195.74999999999989</v>
      </c>
      <c r="F379" s="11">
        <v>22.588245095019797</v>
      </c>
      <c r="G379" s="11">
        <v>-26.99999999999978</v>
      </c>
      <c r="J379" s="11">
        <v>377</v>
      </c>
      <c r="K379" s="11">
        <f t="shared" si="36"/>
        <v>199.24999999999983</v>
      </c>
      <c r="L379" s="11">
        <f t="shared" si="37"/>
        <v>21.500000000024798</v>
      </c>
      <c r="M379" s="11">
        <f t="shared" si="38"/>
        <v>22.588245095019694</v>
      </c>
      <c r="N379" s="11">
        <f t="shared" si="39"/>
        <v>195.74999999999989</v>
      </c>
      <c r="O379" s="11">
        <f t="shared" si="40"/>
        <v>26.99999999999978</v>
      </c>
      <c r="P379" s="11">
        <f t="shared" si="41"/>
        <v>22.588245095019797</v>
      </c>
    </row>
    <row r="380" spans="1:16">
      <c r="A380" s="11">
        <v>378</v>
      </c>
      <c r="B380" s="11">
        <v>195.74999999999983</v>
      </c>
      <c r="C380" s="11">
        <v>22.588245095019694</v>
      </c>
      <c r="D380" s="11">
        <v>-15.999999999999778</v>
      </c>
      <c r="E380" s="11">
        <v>199.24999999999983</v>
      </c>
      <c r="F380" s="11">
        <v>22.588245095019694</v>
      </c>
      <c r="G380" s="11">
        <v>-21.500000000024798</v>
      </c>
      <c r="J380" s="11">
        <v>378</v>
      </c>
      <c r="K380" s="11">
        <f t="shared" si="36"/>
        <v>195.74999999999983</v>
      </c>
      <c r="L380" s="11">
        <f t="shared" si="37"/>
        <v>15.999999999999778</v>
      </c>
      <c r="M380" s="11">
        <f t="shared" si="38"/>
        <v>22.588245095019694</v>
      </c>
      <c r="N380" s="11">
        <f t="shared" si="39"/>
        <v>199.24999999999983</v>
      </c>
      <c r="O380" s="11">
        <f t="shared" si="40"/>
        <v>21.500000000024798</v>
      </c>
      <c r="P380" s="11">
        <f t="shared" si="41"/>
        <v>22.588245095019694</v>
      </c>
    </row>
    <row r="381" spans="1:16">
      <c r="A381" s="11">
        <v>379</v>
      </c>
      <c r="B381" s="11">
        <v>199.24999999999997</v>
      </c>
      <c r="C381" s="11">
        <v>22.588245095019797</v>
      </c>
      <c r="D381" s="11">
        <v>-10.500000000024974</v>
      </c>
      <c r="E381" s="11">
        <v>195.75000000000003</v>
      </c>
      <c r="F381" s="11">
        <v>22.5882450950199</v>
      </c>
      <c r="G381" s="11">
        <v>-15.999999999999957</v>
      </c>
      <c r="J381" s="11">
        <v>379</v>
      </c>
      <c r="K381" s="11">
        <f t="shared" si="36"/>
        <v>199.24999999999997</v>
      </c>
      <c r="L381" s="11">
        <f t="shared" si="37"/>
        <v>10.500000000024974</v>
      </c>
      <c r="M381" s="11">
        <f t="shared" si="38"/>
        <v>22.588245095019797</v>
      </c>
      <c r="N381" s="11">
        <f t="shared" si="39"/>
        <v>195.75000000000003</v>
      </c>
      <c r="O381" s="11">
        <f t="shared" si="40"/>
        <v>15.999999999999957</v>
      </c>
      <c r="P381" s="11">
        <f t="shared" si="41"/>
        <v>22.5882450950199</v>
      </c>
    </row>
    <row r="382" spans="1:16">
      <c r="A382" s="11">
        <v>380</v>
      </c>
      <c r="B382" s="11">
        <v>195.74999999999997</v>
      </c>
      <c r="C382" s="11">
        <v>22.588245095019797</v>
      </c>
      <c r="D382" s="11">
        <v>-4.9999999999999556</v>
      </c>
      <c r="E382" s="11">
        <v>199.24999999999997</v>
      </c>
      <c r="F382" s="11">
        <v>22.588245095019797</v>
      </c>
      <c r="G382" s="11">
        <v>-10.500000000024974</v>
      </c>
      <c r="J382" s="11">
        <v>380</v>
      </c>
      <c r="K382" s="11">
        <f t="shared" si="36"/>
        <v>195.74999999999997</v>
      </c>
      <c r="L382" s="11">
        <f t="shared" si="37"/>
        <v>4.9999999999999556</v>
      </c>
      <c r="M382" s="11">
        <f t="shared" si="38"/>
        <v>22.588245095019797</v>
      </c>
      <c r="N382" s="11">
        <f t="shared" si="39"/>
        <v>199.24999999999997</v>
      </c>
      <c r="O382" s="11">
        <f t="shared" si="40"/>
        <v>10.500000000024974</v>
      </c>
      <c r="P382" s="11">
        <f t="shared" si="41"/>
        <v>22.588245095019797</v>
      </c>
    </row>
    <row r="383" spans="1:16">
      <c r="A383" s="11">
        <v>381</v>
      </c>
      <c r="B383" s="11">
        <v>199.24999999999997</v>
      </c>
      <c r="C383" s="11">
        <v>22.588245095019797</v>
      </c>
      <c r="D383" s="11">
        <v>-15.999999999999648</v>
      </c>
      <c r="E383" s="11">
        <v>195.75</v>
      </c>
      <c r="F383" s="11">
        <v>22.5882450950199</v>
      </c>
      <c r="G383" s="11">
        <v>-15.999999999999648</v>
      </c>
      <c r="J383" s="11">
        <v>381</v>
      </c>
      <c r="K383" s="11">
        <f t="shared" si="36"/>
        <v>199.24999999999997</v>
      </c>
      <c r="L383" s="11">
        <f t="shared" si="37"/>
        <v>15.999999999999648</v>
      </c>
      <c r="M383" s="11">
        <f t="shared" si="38"/>
        <v>22.588245095019797</v>
      </c>
      <c r="N383" s="11">
        <f t="shared" si="39"/>
        <v>195.75</v>
      </c>
      <c r="O383" s="11">
        <f t="shared" si="40"/>
        <v>15.999999999999648</v>
      </c>
      <c r="P383" s="11">
        <f t="shared" si="41"/>
        <v>22.5882450950199</v>
      </c>
    </row>
    <row r="384" spans="1:16">
      <c r="A384" s="11">
        <v>382</v>
      </c>
      <c r="B384" s="11">
        <v>195.74999999999909</v>
      </c>
      <c r="C384" s="11">
        <v>18.588245095019932</v>
      </c>
      <c r="D384" s="11">
        <v>-21.499999999942549</v>
      </c>
      <c r="E384" s="11">
        <v>199.24999999999997</v>
      </c>
      <c r="F384" s="11">
        <v>22.588245095019797</v>
      </c>
      <c r="G384" s="11">
        <v>-26.999999999948997</v>
      </c>
      <c r="J384" s="11">
        <v>382</v>
      </c>
      <c r="K384" s="11">
        <f t="shared" si="36"/>
        <v>195.74999999999909</v>
      </c>
      <c r="L384" s="11">
        <f t="shared" si="37"/>
        <v>21.499999999942549</v>
      </c>
      <c r="M384" s="11">
        <f t="shared" si="38"/>
        <v>18.588245095019932</v>
      </c>
      <c r="N384" s="11">
        <f t="shared" si="39"/>
        <v>199.24999999999997</v>
      </c>
      <c r="O384" s="11">
        <f t="shared" si="40"/>
        <v>26.999999999948997</v>
      </c>
      <c r="P384" s="11">
        <f t="shared" si="41"/>
        <v>22.588245095019797</v>
      </c>
    </row>
    <row r="385" spans="1:16">
      <c r="A385" s="11">
        <v>383</v>
      </c>
      <c r="B385" s="11">
        <v>199.24999999999997</v>
      </c>
      <c r="C385" s="11">
        <v>22.588245095019797</v>
      </c>
      <c r="D385" s="11">
        <v>-15.999999999999648</v>
      </c>
      <c r="E385" s="11">
        <v>195.74999999999909</v>
      </c>
      <c r="F385" s="11">
        <v>18.588245095019932</v>
      </c>
      <c r="G385" s="11">
        <v>-21.499999999942549</v>
      </c>
      <c r="J385" s="11">
        <v>383</v>
      </c>
      <c r="K385" s="11">
        <f t="shared" si="36"/>
        <v>199.24999999999997</v>
      </c>
      <c r="L385" s="11">
        <f t="shared" si="37"/>
        <v>15.999999999999648</v>
      </c>
      <c r="M385" s="11">
        <f t="shared" si="38"/>
        <v>22.588245095019797</v>
      </c>
      <c r="N385" s="11">
        <f t="shared" si="39"/>
        <v>195.74999999999909</v>
      </c>
      <c r="O385" s="11">
        <f t="shared" si="40"/>
        <v>21.499999999942549</v>
      </c>
      <c r="P385" s="11">
        <f t="shared" si="41"/>
        <v>18.588245095019932</v>
      </c>
    </row>
    <row r="386" spans="1:16">
      <c r="A386" s="11">
        <v>384</v>
      </c>
      <c r="B386" s="11">
        <v>195.74999999999912</v>
      </c>
      <c r="C386" s="11">
        <v>18.588245095020039</v>
      </c>
      <c r="D386" s="11">
        <v>-10.499999999947232</v>
      </c>
      <c r="E386" s="11">
        <v>199.24999999999997</v>
      </c>
      <c r="F386" s="11">
        <v>22.588245095019797</v>
      </c>
      <c r="G386" s="11">
        <v>-15.999999999999648</v>
      </c>
      <c r="J386" s="11">
        <v>384</v>
      </c>
      <c r="K386" s="11">
        <f t="shared" si="36"/>
        <v>195.74999999999912</v>
      </c>
      <c r="L386" s="11">
        <f t="shared" si="37"/>
        <v>10.499999999947232</v>
      </c>
      <c r="M386" s="11">
        <f t="shared" si="38"/>
        <v>18.588245095020039</v>
      </c>
      <c r="N386" s="11">
        <f t="shared" si="39"/>
        <v>199.24999999999997</v>
      </c>
      <c r="O386" s="11">
        <f t="shared" si="40"/>
        <v>15.999999999999648</v>
      </c>
      <c r="P386" s="11">
        <f t="shared" si="41"/>
        <v>22.588245095019797</v>
      </c>
    </row>
    <row r="387" spans="1:16">
      <c r="A387" s="11">
        <v>385</v>
      </c>
      <c r="B387" s="11">
        <v>195.74999999999912</v>
      </c>
      <c r="C387" s="11">
        <v>18.588245095020039</v>
      </c>
      <c r="D387" s="11">
        <v>-10.499999999947232</v>
      </c>
      <c r="E387" s="11">
        <v>199.24999999999997</v>
      </c>
      <c r="F387" s="11">
        <v>22.588245095019797</v>
      </c>
      <c r="G387" s="11">
        <v>-5.0000000000503002</v>
      </c>
      <c r="J387" s="11">
        <v>385</v>
      </c>
      <c r="K387" s="11">
        <f t="shared" si="36"/>
        <v>195.74999999999912</v>
      </c>
      <c r="L387" s="11">
        <f t="shared" si="37"/>
        <v>10.499999999947232</v>
      </c>
      <c r="M387" s="11">
        <f t="shared" si="38"/>
        <v>18.588245095020039</v>
      </c>
      <c r="N387" s="11">
        <f t="shared" si="39"/>
        <v>199.24999999999997</v>
      </c>
      <c r="O387" s="11">
        <f t="shared" si="40"/>
        <v>5.0000000000503002</v>
      </c>
      <c r="P387" s="11">
        <f t="shared" si="41"/>
        <v>22.588245095019797</v>
      </c>
    </row>
    <row r="388" spans="1:16">
      <c r="A388" s="11">
        <v>386</v>
      </c>
      <c r="B388" s="11">
        <v>197.49999999999943</v>
      </c>
      <c r="C388" s="11">
        <v>11.294122547509891</v>
      </c>
      <c r="D388" s="11">
        <v>-29.499999999974314</v>
      </c>
      <c r="E388" s="11">
        <v>195.74999999999991</v>
      </c>
      <c r="F388" s="11">
        <v>9.2941225475100389</v>
      </c>
      <c r="G388" s="11">
        <v>-31.999999999999471</v>
      </c>
      <c r="J388" s="11">
        <v>386</v>
      </c>
      <c r="K388" s="11">
        <f t="shared" ref="K388:K451" si="42">$Y$11*B388+$Z$11*C388+$AA$11*D388</f>
        <v>197.49999999999943</v>
      </c>
      <c r="L388" s="11">
        <f t="shared" ref="L388:L451" si="43">$Y$12*B388+$Z$12*C388+$AA$12*D388</f>
        <v>29.499999999974314</v>
      </c>
      <c r="M388" s="11">
        <f t="shared" ref="M388:M451" si="44">$Y$13*B388+$Z$13*C388+$AA$13*D388</f>
        <v>11.294122547509891</v>
      </c>
      <c r="N388" s="11">
        <f t="shared" ref="N388:N451" si="45">$Y$11*E388+$Z$11*F388+$AA$11*G388</f>
        <v>195.74999999999991</v>
      </c>
      <c r="O388" s="11">
        <f t="shared" ref="O388:O451" si="46">$Y$12*E388+$Z$12*F388+$AA$12*G388</f>
        <v>31.999999999999471</v>
      </c>
      <c r="P388" s="11">
        <f t="shared" ref="P388:P451" si="47">$Y$13*E388+$Z$13*F388+$AA$13*G388</f>
        <v>9.2941225475100389</v>
      </c>
    </row>
    <row r="389" spans="1:16">
      <c r="A389" s="11">
        <v>387</v>
      </c>
      <c r="B389" s="11">
        <v>195.74999999999989</v>
      </c>
      <c r="C389" s="11">
        <v>18.588245095020095</v>
      </c>
      <c r="D389" s="11">
        <v>-31.999999999999471</v>
      </c>
      <c r="E389" s="11">
        <v>197.49999999999943</v>
      </c>
      <c r="F389" s="11">
        <v>11.294122547509891</v>
      </c>
      <c r="G389" s="11">
        <v>-29.499999999974314</v>
      </c>
      <c r="J389" s="11">
        <v>387</v>
      </c>
      <c r="K389" s="11">
        <f t="shared" si="42"/>
        <v>195.74999999999989</v>
      </c>
      <c r="L389" s="11">
        <f t="shared" si="43"/>
        <v>31.999999999999471</v>
      </c>
      <c r="M389" s="11">
        <f t="shared" si="44"/>
        <v>18.588245095020095</v>
      </c>
      <c r="N389" s="11">
        <f t="shared" si="45"/>
        <v>197.49999999999943</v>
      </c>
      <c r="O389" s="11">
        <f t="shared" si="46"/>
        <v>29.499999999974314</v>
      </c>
      <c r="P389" s="11">
        <f t="shared" si="47"/>
        <v>11.294122547509891</v>
      </c>
    </row>
    <row r="390" spans="1:16">
      <c r="A390" s="11">
        <v>388</v>
      </c>
      <c r="B390" s="11">
        <v>197.49999999999943</v>
      </c>
      <c r="C390" s="11">
        <v>11.294122547509891</v>
      </c>
      <c r="D390" s="11">
        <v>-29.499999999974314</v>
      </c>
      <c r="E390" s="11">
        <v>195.74999999999901</v>
      </c>
      <c r="F390" s="11">
        <v>8.1323572290712782</v>
      </c>
      <c r="G390" s="11">
        <v>-29.812499999999488</v>
      </c>
      <c r="J390" s="11">
        <v>388</v>
      </c>
      <c r="K390" s="11">
        <f t="shared" si="42"/>
        <v>197.49999999999943</v>
      </c>
      <c r="L390" s="11">
        <f t="shared" si="43"/>
        <v>29.499999999974314</v>
      </c>
      <c r="M390" s="11">
        <f t="shared" si="44"/>
        <v>11.294122547509891</v>
      </c>
      <c r="N390" s="11">
        <f t="shared" si="45"/>
        <v>195.74999999999901</v>
      </c>
      <c r="O390" s="11">
        <f t="shared" si="46"/>
        <v>29.812499999999488</v>
      </c>
      <c r="P390" s="11">
        <f t="shared" si="47"/>
        <v>8.1323572290712782</v>
      </c>
    </row>
    <row r="391" spans="1:16">
      <c r="A391" s="11">
        <v>389</v>
      </c>
      <c r="B391" s="11">
        <v>197.49999999999943</v>
      </c>
      <c r="C391" s="11">
        <v>11.294122547509891</v>
      </c>
      <c r="D391" s="11">
        <v>-29.499999999974314</v>
      </c>
      <c r="E391" s="11">
        <v>195.74999999999901</v>
      </c>
      <c r="F391" s="11">
        <v>13.941183821265067</v>
      </c>
      <c r="G391" s="11">
        <v>-28.249999999999499</v>
      </c>
      <c r="J391" s="11">
        <v>389</v>
      </c>
      <c r="K391" s="11">
        <f t="shared" si="42"/>
        <v>197.49999999999943</v>
      </c>
      <c r="L391" s="11">
        <f t="shared" si="43"/>
        <v>29.499999999974314</v>
      </c>
      <c r="M391" s="11">
        <f t="shared" si="44"/>
        <v>11.294122547509891</v>
      </c>
      <c r="N391" s="11">
        <f t="shared" si="45"/>
        <v>195.74999999999901</v>
      </c>
      <c r="O391" s="11">
        <f t="shared" si="46"/>
        <v>28.249999999999499</v>
      </c>
      <c r="P391" s="11">
        <f t="shared" si="47"/>
        <v>13.941183821265067</v>
      </c>
    </row>
    <row r="392" spans="1:16">
      <c r="A392" s="11">
        <v>390</v>
      </c>
      <c r="B392" s="11">
        <v>199.24999999999986</v>
      </c>
      <c r="C392" s="11">
        <v>22.588245095019797</v>
      </c>
      <c r="D392" s="11">
        <v>-26.999999999949161</v>
      </c>
      <c r="E392" s="11">
        <v>195.74999999999989</v>
      </c>
      <c r="F392" s="11">
        <v>18.588245095020095</v>
      </c>
      <c r="G392" s="11">
        <v>-31.999999999999471</v>
      </c>
      <c r="J392" s="11">
        <v>390</v>
      </c>
      <c r="K392" s="11">
        <f t="shared" si="42"/>
        <v>199.24999999999986</v>
      </c>
      <c r="L392" s="11">
        <f t="shared" si="43"/>
        <v>26.999999999949161</v>
      </c>
      <c r="M392" s="11">
        <f t="shared" si="44"/>
        <v>22.588245095019797</v>
      </c>
      <c r="N392" s="11">
        <f t="shared" si="45"/>
        <v>195.74999999999989</v>
      </c>
      <c r="O392" s="11">
        <f t="shared" si="46"/>
        <v>31.999999999999471</v>
      </c>
      <c r="P392" s="11">
        <f t="shared" si="47"/>
        <v>18.588245095020095</v>
      </c>
    </row>
    <row r="393" spans="1:16">
      <c r="A393" s="11">
        <v>391</v>
      </c>
      <c r="B393" s="11">
        <v>195.74999999999989</v>
      </c>
      <c r="C393" s="11">
        <v>18.588245095020095</v>
      </c>
      <c r="D393" s="11">
        <v>-31.999999999999471</v>
      </c>
      <c r="E393" s="11">
        <v>198.37499999999963</v>
      </c>
      <c r="F393" s="11">
        <v>16.941183821264843</v>
      </c>
      <c r="G393" s="11">
        <v>-28.249999999961737</v>
      </c>
      <c r="J393" s="11">
        <v>391</v>
      </c>
      <c r="K393" s="11">
        <f t="shared" si="42"/>
        <v>195.74999999999989</v>
      </c>
      <c r="L393" s="11">
        <f t="shared" si="43"/>
        <v>31.999999999999471</v>
      </c>
      <c r="M393" s="11">
        <f t="shared" si="44"/>
        <v>18.588245095020095</v>
      </c>
      <c r="N393" s="11">
        <f t="shared" si="45"/>
        <v>198.37499999999963</v>
      </c>
      <c r="O393" s="11">
        <f t="shared" si="46"/>
        <v>28.249999999961737</v>
      </c>
      <c r="P393" s="11">
        <f t="shared" si="47"/>
        <v>16.941183821264843</v>
      </c>
    </row>
    <row r="394" spans="1:16">
      <c r="A394" s="11">
        <v>392</v>
      </c>
      <c r="B394" s="11">
        <v>198.37499999999963</v>
      </c>
      <c r="C394" s="11">
        <v>16.941183821264843</v>
      </c>
      <c r="D394" s="11">
        <v>-28.249999999961737</v>
      </c>
      <c r="E394" s="11">
        <v>195.74999999999901</v>
      </c>
      <c r="F394" s="11">
        <v>13.941183821265067</v>
      </c>
      <c r="G394" s="11">
        <v>-28.249999999999499</v>
      </c>
      <c r="J394" s="11">
        <v>392</v>
      </c>
      <c r="K394" s="11">
        <f t="shared" si="42"/>
        <v>198.37499999999963</v>
      </c>
      <c r="L394" s="11">
        <f t="shared" si="43"/>
        <v>28.249999999961737</v>
      </c>
      <c r="M394" s="11">
        <f t="shared" si="44"/>
        <v>16.941183821264843</v>
      </c>
      <c r="N394" s="11">
        <f t="shared" si="45"/>
        <v>195.74999999999901</v>
      </c>
      <c r="O394" s="11">
        <f t="shared" si="46"/>
        <v>28.249999999999499</v>
      </c>
      <c r="P394" s="11">
        <f t="shared" si="47"/>
        <v>13.941183821265067</v>
      </c>
    </row>
    <row r="395" spans="1:16">
      <c r="A395" s="11">
        <v>393</v>
      </c>
      <c r="B395" s="11">
        <v>198.37499999999963</v>
      </c>
      <c r="C395" s="11">
        <v>16.941183821264843</v>
      </c>
      <c r="D395" s="11">
        <v>-28.249999999961737</v>
      </c>
      <c r="E395" s="11">
        <v>195.74999999999901</v>
      </c>
      <c r="F395" s="11">
        <v>18.588245095020092</v>
      </c>
      <c r="G395" s="11">
        <v>-27.000000000049855</v>
      </c>
      <c r="J395" s="11">
        <v>393</v>
      </c>
      <c r="K395" s="11">
        <f t="shared" si="42"/>
        <v>198.37499999999963</v>
      </c>
      <c r="L395" s="11">
        <f t="shared" si="43"/>
        <v>28.249999999961737</v>
      </c>
      <c r="M395" s="11">
        <f t="shared" si="44"/>
        <v>16.941183821264843</v>
      </c>
      <c r="N395" s="11">
        <f t="shared" si="45"/>
        <v>195.74999999999901</v>
      </c>
      <c r="O395" s="11">
        <f t="shared" si="46"/>
        <v>27.000000000049855</v>
      </c>
      <c r="P395" s="11">
        <f t="shared" si="47"/>
        <v>18.588245095020092</v>
      </c>
    </row>
    <row r="396" spans="1:16">
      <c r="A396" s="11">
        <v>394</v>
      </c>
      <c r="B396" s="11">
        <v>195.74999999999901</v>
      </c>
      <c r="C396" s="11">
        <v>18.588245095020092</v>
      </c>
      <c r="D396" s="11">
        <v>-27.000000000049855</v>
      </c>
      <c r="E396" s="11">
        <v>199.24999999999986</v>
      </c>
      <c r="F396" s="11">
        <v>22.588245095019797</v>
      </c>
      <c r="G396" s="11">
        <v>-26.999999999949161</v>
      </c>
      <c r="J396" s="11">
        <v>394</v>
      </c>
      <c r="K396" s="11">
        <f t="shared" si="42"/>
        <v>195.74999999999901</v>
      </c>
      <c r="L396" s="11">
        <f t="shared" si="43"/>
        <v>27.000000000049855</v>
      </c>
      <c r="M396" s="11">
        <f t="shared" si="44"/>
        <v>18.588245095020092</v>
      </c>
      <c r="N396" s="11">
        <f t="shared" si="45"/>
        <v>199.24999999999986</v>
      </c>
      <c r="O396" s="11">
        <f t="shared" si="46"/>
        <v>26.999999999949161</v>
      </c>
      <c r="P396" s="11">
        <f t="shared" si="47"/>
        <v>22.588245095019797</v>
      </c>
    </row>
    <row r="397" spans="1:16">
      <c r="A397" s="11">
        <v>395</v>
      </c>
      <c r="B397" s="11">
        <v>197.93749999999986</v>
      </c>
      <c r="C397" s="11">
        <v>25.287965684387373</v>
      </c>
      <c r="D397" s="11">
        <v>-28.874999999968026</v>
      </c>
      <c r="E397" s="11">
        <v>195.74999999999986</v>
      </c>
      <c r="F397" s="11">
        <v>25.287965684387373</v>
      </c>
      <c r="G397" s="11">
        <v>-28.874999999999471</v>
      </c>
      <c r="J397" s="11">
        <v>395</v>
      </c>
      <c r="K397" s="11">
        <f t="shared" si="42"/>
        <v>197.93749999999986</v>
      </c>
      <c r="L397" s="11">
        <f t="shared" si="43"/>
        <v>28.874999999968026</v>
      </c>
      <c r="M397" s="11">
        <f t="shared" si="44"/>
        <v>25.287965684387373</v>
      </c>
      <c r="N397" s="11">
        <f t="shared" si="45"/>
        <v>195.74999999999986</v>
      </c>
      <c r="O397" s="11">
        <f t="shared" si="46"/>
        <v>28.874999999999471</v>
      </c>
      <c r="P397" s="11">
        <f t="shared" si="47"/>
        <v>25.287965684387373</v>
      </c>
    </row>
    <row r="398" spans="1:16">
      <c r="A398" s="11">
        <v>396</v>
      </c>
      <c r="B398" s="11">
        <v>195.74999999999989</v>
      </c>
      <c r="C398" s="11">
        <v>22.588245095019797</v>
      </c>
      <c r="D398" s="11">
        <v>-31.999999999999471</v>
      </c>
      <c r="E398" s="11">
        <v>197.93749999999986</v>
      </c>
      <c r="F398" s="11">
        <v>25.287965684387373</v>
      </c>
      <c r="G398" s="11">
        <v>-28.874999999968026</v>
      </c>
      <c r="J398" s="11">
        <v>396</v>
      </c>
      <c r="K398" s="11">
        <f t="shared" si="42"/>
        <v>195.74999999999989</v>
      </c>
      <c r="L398" s="11">
        <f t="shared" si="43"/>
        <v>31.999999999999471</v>
      </c>
      <c r="M398" s="11">
        <f t="shared" si="44"/>
        <v>22.588245095019797</v>
      </c>
      <c r="N398" s="11">
        <f t="shared" si="45"/>
        <v>197.93749999999986</v>
      </c>
      <c r="O398" s="11">
        <f t="shared" si="46"/>
        <v>28.874999999968026</v>
      </c>
      <c r="P398" s="11">
        <f t="shared" si="47"/>
        <v>25.287965684387373</v>
      </c>
    </row>
    <row r="399" spans="1:16">
      <c r="A399" s="11">
        <v>397</v>
      </c>
      <c r="B399" s="11">
        <v>199.24999999999986</v>
      </c>
      <c r="C399" s="11">
        <v>22.588245095019797</v>
      </c>
      <c r="D399" s="11">
        <v>-26.999999999949161</v>
      </c>
      <c r="E399" s="11">
        <v>195.74999999999989</v>
      </c>
      <c r="F399" s="11">
        <v>22.588245095019797</v>
      </c>
      <c r="G399" s="11">
        <v>-31.999999999999471</v>
      </c>
      <c r="J399" s="11">
        <v>397</v>
      </c>
      <c r="K399" s="11">
        <f t="shared" si="42"/>
        <v>199.24999999999986</v>
      </c>
      <c r="L399" s="11">
        <f t="shared" si="43"/>
        <v>26.999999999949161</v>
      </c>
      <c r="M399" s="11">
        <f t="shared" si="44"/>
        <v>22.588245095019797</v>
      </c>
      <c r="N399" s="11">
        <f t="shared" si="45"/>
        <v>195.74999999999989</v>
      </c>
      <c r="O399" s="11">
        <f t="shared" si="46"/>
        <v>31.999999999999471</v>
      </c>
      <c r="P399" s="11">
        <f t="shared" si="47"/>
        <v>22.588245095019797</v>
      </c>
    </row>
    <row r="400" spans="1:16">
      <c r="A400" s="11">
        <v>398</v>
      </c>
      <c r="B400" s="11">
        <v>195.74999999999986</v>
      </c>
      <c r="C400" s="11">
        <v>22.588245095019797</v>
      </c>
      <c r="D400" s="11">
        <v>-26.999999999999471</v>
      </c>
      <c r="E400" s="11">
        <v>199.24999999999986</v>
      </c>
      <c r="F400" s="11">
        <v>22.588245095019797</v>
      </c>
      <c r="G400" s="11">
        <v>-26.999999999949161</v>
      </c>
      <c r="J400" s="11">
        <v>398</v>
      </c>
      <c r="K400" s="11">
        <f t="shared" si="42"/>
        <v>195.74999999999986</v>
      </c>
      <c r="L400" s="11">
        <f t="shared" si="43"/>
        <v>26.999999999999471</v>
      </c>
      <c r="M400" s="11">
        <f t="shared" si="44"/>
        <v>22.588245095019797</v>
      </c>
      <c r="N400" s="11">
        <f t="shared" si="45"/>
        <v>199.24999999999986</v>
      </c>
      <c r="O400" s="11">
        <f t="shared" si="46"/>
        <v>26.999999999949161</v>
      </c>
      <c r="P400" s="11">
        <f t="shared" si="47"/>
        <v>22.588245095019797</v>
      </c>
    </row>
    <row r="401" spans="1:16">
      <c r="A401" s="11">
        <v>399</v>
      </c>
      <c r="B401" s="11">
        <v>197.49999999999957</v>
      </c>
      <c r="C401" s="11">
        <v>11.294122547509891</v>
      </c>
      <c r="D401" s="11">
        <v>-2.5000000000251288</v>
      </c>
      <c r="E401" s="11">
        <v>195.75000000000009</v>
      </c>
      <c r="F401" s="11">
        <v>9.2941225475100389</v>
      </c>
      <c r="G401" s="11">
        <v>4.2632564145606011E-14</v>
      </c>
      <c r="J401" s="11">
        <v>399</v>
      </c>
      <c r="K401" s="11">
        <f t="shared" si="42"/>
        <v>197.49999999999957</v>
      </c>
      <c r="L401" s="11">
        <f t="shared" si="43"/>
        <v>2.5000000000251288</v>
      </c>
      <c r="M401" s="11">
        <f t="shared" si="44"/>
        <v>11.294122547509891</v>
      </c>
      <c r="N401" s="11">
        <f t="shared" si="45"/>
        <v>195.75000000000009</v>
      </c>
      <c r="O401" s="11">
        <f t="shared" si="46"/>
        <v>-4.2632564145606011E-14</v>
      </c>
      <c r="P401" s="11">
        <f t="shared" si="47"/>
        <v>9.2941225475100389</v>
      </c>
    </row>
    <row r="402" spans="1:16">
      <c r="A402" s="11">
        <v>400</v>
      </c>
      <c r="B402" s="11">
        <v>195.75000000000006</v>
      </c>
      <c r="C402" s="11">
        <v>18.588245095020095</v>
      </c>
      <c r="D402" s="11">
        <v>4.2632564145606011E-14</v>
      </c>
      <c r="E402" s="11">
        <v>197.49999999999957</v>
      </c>
      <c r="F402" s="11">
        <v>11.294122547509891</v>
      </c>
      <c r="G402" s="11">
        <v>-2.5000000000251288</v>
      </c>
      <c r="J402" s="11">
        <v>400</v>
      </c>
      <c r="K402" s="11">
        <f t="shared" si="42"/>
        <v>195.75000000000006</v>
      </c>
      <c r="L402" s="11">
        <f t="shared" si="43"/>
        <v>-4.2632564145606011E-14</v>
      </c>
      <c r="M402" s="11">
        <f t="shared" si="44"/>
        <v>18.588245095020095</v>
      </c>
      <c r="N402" s="11">
        <f t="shared" si="45"/>
        <v>197.49999999999957</v>
      </c>
      <c r="O402" s="11">
        <f t="shared" si="46"/>
        <v>2.5000000000251288</v>
      </c>
      <c r="P402" s="11">
        <f t="shared" si="47"/>
        <v>11.294122547509891</v>
      </c>
    </row>
    <row r="403" spans="1:16">
      <c r="A403" s="11">
        <v>401</v>
      </c>
      <c r="B403" s="11">
        <v>197.49999999999957</v>
      </c>
      <c r="C403" s="11">
        <v>11.294122547509891</v>
      </c>
      <c r="D403" s="11">
        <v>-2.5000000000251288</v>
      </c>
      <c r="E403" s="11">
        <v>195.74999999999915</v>
      </c>
      <c r="F403" s="11">
        <v>8.1323572290712782</v>
      </c>
      <c r="G403" s="11">
        <v>-2.1874999999999396</v>
      </c>
      <c r="J403" s="11">
        <v>401</v>
      </c>
      <c r="K403" s="11">
        <f t="shared" si="42"/>
        <v>197.49999999999957</v>
      </c>
      <c r="L403" s="11">
        <f t="shared" si="43"/>
        <v>2.5000000000251288</v>
      </c>
      <c r="M403" s="11">
        <f t="shared" si="44"/>
        <v>11.294122547509891</v>
      </c>
      <c r="N403" s="11">
        <f t="shared" si="45"/>
        <v>195.74999999999915</v>
      </c>
      <c r="O403" s="11">
        <f t="shared" si="46"/>
        <v>2.1874999999999396</v>
      </c>
      <c r="P403" s="11">
        <f t="shared" si="47"/>
        <v>8.1323572290712782</v>
      </c>
    </row>
    <row r="404" spans="1:16">
      <c r="A404" s="11">
        <v>402</v>
      </c>
      <c r="B404" s="11">
        <v>197.49999999999957</v>
      </c>
      <c r="C404" s="11">
        <v>11.294122547509891</v>
      </c>
      <c r="D404" s="11">
        <v>-2.5000000000251288</v>
      </c>
      <c r="E404" s="11">
        <v>195.74999999999915</v>
      </c>
      <c r="F404" s="11">
        <v>13.941183821265067</v>
      </c>
      <c r="G404" s="11">
        <v>-3.7499999999999272</v>
      </c>
      <c r="J404" s="11">
        <v>402</v>
      </c>
      <c r="K404" s="11">
        <f t="shared" si="42"/>
        <v>197.49999999999957</v>
      </c>
      <c r="L404" s="11">
        <f t="shared" si="43"/>
        <v>2.5000000000251288</v>
      </c>
      <c r="M404" s="11">
        <f t="shared" si="44"/>
        <v>11.294122547509891</v>
      </c>
      <c r="N404" s="11">
        <f t="shared" si="45"/>
        <v>195.74999999999915</v>
      </c>
      <c r="O404" s="11">
        <f t="shared" si="46"/>
        <v>3.7499999999999272</v>
      </c>
      <c r="P404" s="11">
        <f t="shared" si="47"/>
        <v>13.941183821265067</v>
      </c>
    </row>
    <row r="405" spans="1:16">
      <c r="A405" s="11">
        <v>403</v>
      </c>
      <c r="B405" s="11">
        <v>199.24999999999997</v>
      </c>
      <c r="C405" s="11">
        <v>22.588245095019797</v>
      </c>
      <c r="D405" s="11">
        <v>-5.0000000000503002</v>
      </c>
      <c r="E405" s="11">
        <v>195.75000000000006</v>
      </c>
      <c r="F405" s="11">
        <v>18.588245095020095</v>
      </c>
      <c r="G405" s="11">
        <v>4.2632564145606011E-14</v>
      </c>
      <c r="J405" s="11">
        <v>403</v>
      </c>
      <c r="K405" s="11">
        <f t="shared" si="42"/>
        <v>199.24999999999997</v>
      </c>
      <c r="L405" s="11">
        <f t="shared" si="43"/>
        <v>5.0000000000503002</v>
      </c>
      <c r="M405" s="11">
        <f t="shared" si="44"/>
        <v>22.588245095019797</v>
      </c>
      <c r="N405" s="11">
        <f t="shared" si="45"/>
        <v>195.75000000000006</v>
      </c>
      <c r="O405" s="11">
        <f t="shared" si="46"/>
        <v>-4.2632564145606011E-14</v>
      </c>
      <c r="P405" s="11">
        <f t="shared" si="47"/>
        <v>18.588245095020095</v>
      </c>
    </row>
    <row r="406" spans="1:16">
      <c r="A406" s="11">
        <v>404</v>
      </c>
      <c r="B406" s="11">
        <v>195.75000000000006</v>
      </c>
      <c r="C406" s="11">
        <v>18.588245095020095</v>
      </c>
      <c r="D406" s="11">
        <v>4.2632564145606011E-14</v>
      </c>
      <c r="E406" s="11">
        <v>198.37499999999977</v>
      </c>
      <c r="F406" s="11">
        <v>16.941183821264843</v>
      </c>
      <c r="G406" s="11">
        <v>-3.7500000000377147</v>
      </c>
      <c r="J406" s="11">
        <v>404</v>
      </c>
      <c r="K406" s="11">
        <f t="shared" si="42"/>
        <v>195.75000000000006</v>
      </c>
      <c r="L406" s="11">
        <f t="shared" si="43"/>
        <v>-4.2632564145606011E-14</v>
      </c>
      <c r="M406" s="11">
        <f t="shared" si="44"/>
        <v>18.588245095020095</v>
      </c>
      <c r="N406" s="11">
        <f t="shared" si="45"/>
        <v>198.37499999999977</v>
      </c>
      <c r="O406" s="11">
        <f t="shared" si="46"/>
        <v>3.7500000000377147</v>
      </c>
      <c r="P406" s="11">
        <f t="shared" si="47"/>
        <v>16.941183821264843</v>
      </c>
    </row>
    <row r="407" spans="1:16">
      <c r="A407" s="11">
        <v>405</v>
      </c>
      <c r="B407" s="11">
        <v>198.37499999999977</v>
      </c>
      <c r="C407" s="11">
        <v>16.941183821264843</v>
      </c>
      <c r="D407" s="11">
        <v>-3.7500000000377147</v>
      </c>
      <c r="E407" s="11">
        <v>195.74999999999915</v>
      </c>
      <c r="F407" s="11">
        <v>13.941183821265067</v>
      </c>
      <c r="G407" s="11">
        <v>-3.7499999999999272</v>
      </c>
      <c r="J407" s="11">
        <v>405</v>
      </c>
      <c r="K407" s="11">
        <f t="shared" si="42"/>
        <v>198.37499999999977</v>
      </c>
      <c r="L407" s="11">
        <f t="shared" si="43"/>
        <v>3.7500000000377147</v>
      </c>
      <c r="M407" s="11">
        <f t="shared" si="44"/>
        <v>16.941183821264843</v>
      </c>
      <c r="N407" s="11">
        <f t="shared" si="45"/>
        <v>195.74999999999915</v>
      </c>
      <c r="O407" s="11">
        <f t="shared" si="46"/>
        <v>3.7499999999999272</v>
      </c>
      <c r="P407" s="11">
        <f t="shared" si="47"/>
        <v>13.941183821265067</v>
      </c>
    </row>
    <row r="408" spans="1:16">
      <c r="A408" s="11">
        <v>406</v>
      </c>
      <c r="B408" s="11">
        <v>198.37499999999977</v>
      </c>
      <c r="C408" s="11">
        <v>16.941183821264843</v>
      </c>
      <c r="D408" s="11">
        <v>-3.7500000000377147</v>
      </c>
      <c r="E408" s="11">
        <v>195.74999999999912</v>
      </c>
      <c r="F408" s="11">
        <v>18.588245095020092</v>
      </c>
      <c r="G408" s="11">
        <v>-4.9999999999495719</v>
      </c>
      <c r="J408" s="11">
        <v>406</v>
      </c>
      <c r="K408" s="11">
        <f t="shared" si="42"/>
        <v>198.37499999999977</v>
      </c>
      <c r="L408" s="11">
        <f t="shared" si="43"/>
        <v>3.7500000000377147</v>
      </c>
      <c r="M408" s="11">
        <f t="shared" si="44"/>
        <v>16.941183821264843</v>
      </c>
      <c r="N408" s="11">
        <f t="shared" si="45"/>
        <v>195.74999999999912</v>
      </c>
      <c r="O408" s="11">
        <f t="shared" si="46"/>
        <v>4.9999999999495719</v>
      </c>
      <c r="P408" s="11">
        <f t="shared" si="47"/>
        <v>18.588245095020092</v>
      </c>
    </row>
    <row r="409" spans="1:16">
      <c r="A409" s="11">
        <v>407</v>
      </c>
      <c r="B409" s="11">
        <v>195.74999999999912</v>
      </c>
      <c r="C409" s="11">
        <v>18.588245095020092</v>
      </c>
      <c r="D409" s="11">
        <v>-4.9999999999495719</v>
      </c>
      <c r="E409" s="11">
        <v>199.24999999999997</v>
      </c>
      <c r="F409" s="11">
        <v>22.588245095019797</v>
      </c>
      <c r="G409" s="11">
        <v>-5.0000000000503002</v>
      </c>
      <c r="J409" s="11">
        <v>407</v>
      </c>
      <c r="K409" s="11">
        <f t="shared" si="42"/>
        <v>195.74999999999912</v>
      </c>
      <c r="L409" s="11">
        <f t="shared" si="43"/>
        <v>4.9999999999495719</v>
      </c>
      <c r="M409" s="11">
        <f t="shared" si="44"/>
        <v>18.588245095020092</v>
      </c>
      <c r="N409" s="11">
        <f t="shared" si="45"/>
        <v>199.24999999999997</v>
      </c>
      <c r="O409" s="11">
        <f t="shared" si="46"/>
        <v>5.0000000000503002</v>
      </c>
      <c r="P409" s="11">
        <f t="shared" si="47"/>
        <v>22.588245095019797</v>
      </c>
    </row>
    <row r="410" spans="1:16">
      <c r="A410" s="11">
        <v>408</v>
      </c>
      <c r="B410" s="11">
        <v>197.9375</v>
      </c>
      <c r="C410" s="11">
        <v>25.287965684387373</v>
      </c>
      <c r="D410" s="11">
        <v>-3.1250000000314238</v>
      </c>
      <c r="E410" s="11">
        <v>195.75</v>
      </c>
      <c r="F410" s="11">
        <v>25.287965684387373</v>
      </c>
      <c r="G410" s="11">
        <v>-3.1249999999999565</v>
      </c>
      <c r="J410" s="11">
        <v>408</v>
      </c>
      <c r="K410" s="11">
        <f t="shared" si="42"/>
        <v>197.9375</v>
      </c>
      <c r="L410" s="11">
        <f t="shared" si="43"/>
        <v>3.1250000000314238</v>
      </c>
      <c r="M410" s="11">
        <f t="shared" si="44"/>
        <v>25.287965684387373</v>
      </c>
      <c r="N410" s="11">
        <f t="shared" si="45"/>
        <v>195.75</v>
      </c>
      <c r="O410" s="11">
        <f t="shared" si="46"/>
        <v>3.1249999999999565</v>
      </c>
      <c r="P410" s="11">
        <f t="shared" si="47"/>
        <v>25.287965684387373</v>
      </c>
    </row>
    <row r="411" spans="1:16">
      <c r="A411" s="11">
        <v>409</v>
      </c>
      <c r="B411" s="11">
        <v>195.75000000000006</v>
      </c>
      <c r="C411" s="11">
        <v>22.588245095019797</v>
      </c>
      <c r="D411" s="11">
        <v>4.2632564145606011E-14</v>
      </c>
      <c r="E411" s="11">
        <v>197.9375</v>
      </c>
      <c r="F411" s="11">
        <v>25.287965684387373</v>
      </c>
      <c r="G411" s="11">
        <v>-3.1250000000314246</v>
      </c>
      <c r="J411" s="11">
        <v>409</v>
      </c>
      <c r="K411" s="11">
        <f t="shared" si="42"/>
        <v>195.75000000000006</v>
      </c>
      <c r="L411" s="11">
        <f t="shared" si="43"/>
        <v>-4.2632564145606011E-14</v>
      </c>
      <c r="M411" s="11">
        <f t="shared" si="44"/>
        <v>22.588245095019797</v>
      </c>
      <c r="N411" s="11">
        <f t="shared" si="45"/>
        <v>197.9375</v>
      </c>
      <c r="O411" s="11">
        <f t="shared" si="46"/>
        <v>3.1250000000314246</v>
      </c>
      <c r="P411" s="11">
        <f t="shared" si="47"/>
        <v>25.287965684387373</v>
      </c>
    </row>
    <row r="412" spans="1:16">
      <c r="A412" s="11">
        <v>410</v>
      </c>
      <c r="B412" s="11">
        <v>199.24999999999997</v>
      </c>
      <c r="C412" s="11">
        <v>22.588245095019797</v>
      </c>
      <c r="D412" s="11">
        <v>-5.0000000000503002</v>
      </c>
      <c r="E412" s="11">
        <v>195.75000000000006</v>
      </c>
      <c r="F412" s="11">
        <v>22.588245095019797</v>
      </c>
      <c r="G412" s="11">
        <v>4.2632564145606011E-14</v>
      </c>
      <c r="J412" s="11">
        <v>410</v>
      </c>
      <c r="K412" s="11">
        <f t="shared" si="42"/>
        <v>199.24999999999997</v>
      </c>
      <c r="L412" s="11">
        <f t="shared" si="43"/>
        <v>5.0000000000503002</v>
      </c>
      <c r="M412" s="11">
        <f t="shared" si="44"/>
        <v>22.588245095019797</v>
      </c>
      <c r="N412" s="11">
        <f t="shared" si="45"/>
        <v>195.75000000000006</v>
      </c>
      <c r="O412" s="11">
        <f t="shared" si="46"/>
        <v>-4.2632564145606011E-14</v>
      </c>
      <c r="P412" s="11">
        <f t="shared" si="47"/>
        <v>22.588245095019797</v>
      </c>
    </row>
    <row r="413" spans="1:16">
      <c r="A413" s="11">
        <v>411</v>
      </c>
      <c r="B413" s="11">
        <v>195.74999999999997</v>
      </c>
      <c r="C413" s="11">
        <v>22.588245095019797</v>
      </c>
      <c r="D413" s="11">
        <v>-4.9999999999999556</v>
      </c>
      <c r="E413" s="11">
        <v>199.24999999999997</v>
      </c>
      <c r="F413" s="11">
        <v>22.588245095019797</v>
      </c>
      <c r="G413" s="11">
        <v>-5.0000000000503002</v>
      </c>
      <c r="J413" s="11">
        <v>411</v>
      </c>
      <c r="K413" s="11">
        <f t="shared" si="42"/>
        <v>195.74999999999997</v>
      </c>
      <c r="L413" s="11">
        <f t="shared" si="43"/>
        <v>4.9999999999999556</v>
      </c>
      <c r="M413" s="11">
        <f t="shared" si="44"/>
        <v>22.588245095019797</v>
      </c>
      <c r="N413" s="11">
        <f t="shared" si="45"/>
        <v>199.24999999999997</v>
      </c>
      <c r="O413" s="11">
        <f t="shared" si="46"/>
        <v>5.0000000000503002</v>
      </c>
      <c r="P413" s="11">
        <f t="shared" si="47"/>
        <v>22.588245095019797</v>
      </c>
    </row>
    <row r="414" spans="1:16">
      <c r="A414" s="11">
        <v>412</v>
      </c>
      <c r="B414" s="11">
        <v>195.74999999999915</v>
      </c>
      <c r="C414" s="11">
        <v>13.941183821265067</v>
      </c>
      <c r="D414" s="11">
        <v>-28.249999999999979</v>
      </c>
      <c r="E414" s="11">
        <v>195.75000000000006</v>
      </c>
      <c r="F414" s="11">
        <v>9.2941225475100353</v>
      </c>
      <c r="G414" s="11">
        <v>-31.99999999999995</v>
      </c>
      <c r="J414" s="11">
        <v>412</v>
      </c>
      <c r="K414" s="11">
        <f t="shared" si="42"/>
        <v>195.74999999999915</v>
      </c>
      <c r="L414" s="11">
        <f t="shared" si="43"/>
        <v>28.249999999999979</v>
      </c>
      <c r="M414" s="11">
        <f t="shared" si="44"/>
        <v>13.941183821265067</v>
      </c>
      <c r="N414" s="11">
        <f t="shared" si="45"/>
        <v>195.75000000000006</v>
      </c>
      <c r="O414" s="11">
        <f t="shared" si="46"/>
        <v>31.99999999999995</v>
      </c>
      <c r="P414" s="11">
        <f t="shared" si="47"/>
        <v>9.2941225475100353</v>
      </c>
    </row>
    <row r="415" spans="1:16">
      <c r="A415" s="11">
        <v>413</v>
      </c>
      <c r="B415" s="11">
        <v>195.75000000000006</v>
      </c>
      <c r="C415" s="11">
        <v>18.588245095020095</v>
      </c>
      <c r="D415" s="11">
        <v>-31.99999999999995</v>
      </c>
      <c r="E415" s="11">
        <v>195.74999999999915</v>
      </c>
      <c r="F415" s="11">
        <v>13.941183821265067</v>
      </c>
      <c r="G415" s="11">
        <v>-28.249999999999979</v>
      </c>
      <c r="J415" s="11">
        <v>413</v>
      </c>
      <c r="K415" s="11">
        <f t="shared" si="42"/>
        <v>195.75000000000006</v>
      </c>
      <c r="L415" s="11">
        <f t="shared" si="43"/>
        <v>31.99999999999995</v>
      </c>
      <c r="M415" s="11">
        <f t="shared" si="44"/>
        <v>18.588245095020095</v>
      </c>
      <c r="N415" s="11">
        <f t="shared" si="45"/>
        <v>195.74999999999915</v>
      </c>
      <c r="O415" s="11">
        <f t="shared" si="46"/>
        <v>28.249999999999979</v>
      </c>
      <c r="P415" s="11">
        <f t="shared" si="47"/>
        <v>13.941183821265067</v>
      </c>
    </row>
    <row r="416" spans="1:16">
      <c r="A416" s="11">
        <v>414</v>
      </c>
      <c r="B416" s="11">
        <v>195.74999999999915</v>
      </c>
      <c r="C416" s="11">
        <v>13.941183821265067</v>
      </c>
      <c r="D416" s="11">
        <v>-28.249999999999979</v>
      </c>
      <c r="E416" s="11">
        <v>195.75000000000006</v>
      </c>
      <c r="F416" s="11">
        <v>13.941183821265067</v>
      </c>
      <c r="G416" s="11">
        <v>-31.99999999999995</v>
      </c>
      <c r="J416" s="11">
        <v>414</v>
      </c>
      <c r="K416" s="11">
        <f t="shared" si="42"/>
        <v>195.74999999999915</v>
      </c>
      <c r="L416" s="11">
        <f t="shared" si="43"/>
        <v>28.249999999999979</v>
      </c>
      <c r="M416" s="11">
        <f t="shared" si="44"/>
        <v>13.941183821265067</v>
      </c>
      <c r="N416" s="11">
        <f t="shared" si="45"/>
        <v>195.75000000000006</v>
      </c>
      <c r="O416" s="11">
        <f t="shared" si="46"/>
        <v>31.99999999999995</v>
      </c>
      <c r="P416" s="11">
        <f t="shared" si="47"/>
        <v>13.941183821265067</v>
      </c>
    </row>
    <row r="417" spans="1:16">
      <c r="A417" s="11">
        <v>415</v>
      </c>
      <c r="B417" s="11">
        <v>195.74999999999915</v>
      </c>
      <c r="C417" s="11">
        <v>8.1323572290712782</v>
      </c>
      <c r="D417" s="11">
        <v>-29.812499999999968</v>
      </c>
      <c r="E417" s="11">
        <v>195.75000000000009</v>
      </c>
      <c r="F417" s="11">
        <v>9.2941225475100389</v>
      </c>
      <c r="G417" s="11">
        <v>-31.99999999999995</v>
      </c>
      <c r="J417" s="11">
        <v>415</v>
      </c>
      <c r="K417" s="11">
        <f t="shared" si="42"/>
        <v>195.74999999999915</v>
      </c>
      <c r="L417" s="11">
        <f t="shared" si="43"/>
        <v>29.812499999999968</v>
      </c>
      <c r="M417" s="11">
        <f t="shared" si="44"/>
        <v>8.1323572290712782</v>
      </c>
      <c r="N417" s="11">
        <f t="shared" si="45"/>
        <v>195.75000000000009</v>
      </c>
      <c r="O417" s="11">
        <f t="shared" si="46"/>
        <v>31.99999999999995</v>
      </c>
      <c r="P417" s="11">
        <f t="shared" si="47"/>
        <v>9.2941225475100389</v>
      </c>
    </row>
    <row r="418" spans="1:16">
      <c r="A418" s="11">
        <v>416</v>
      </c>
      <c r="B418" s="11">
        <v>195.75000000000006</v>
      </c>
      <c r="C418" s="11">
        <v>22.588245095019797</v>
      </c>
      <c r="D418" s="11">
        <v>-31.99999999999995</v>
      </c>
      <c r="E418" s="11">
        <v>195.75</v>
      </c>
      <c r="F418" s="11">
        <v>25.287965684387373</v>
      </c>
      <c r="G418" s="11">
        <v>-28.87499999999995</v>
      </c>
      <c r="J418" s="11">
        <v>416</v>
      </c>
      <c r="K418" s="11">
        <f t="shared" si="42"/>
        <v>195.75000000000006</v>
      </c>
      <c r="L418" s="11">
        <f t="shared" si="43"/>
        <v>31.99999999999995</v>
      </c>
      <c r="M418" s="11">
        <f t="shared" si="44"/>
        <v>22.588245095019797</v>
      </c>
      <c r="N418" s="11">
        <f t="shared" si="45"/>
        <v>195.75</v>
      </c>
      <c r="O418" s="11">
        <f t="shared" si="46"/>
        <v>28.87499999999995</v>
      </c>
      <c r="P418" s="11">
        <f t="shared" si="47"/>
        <v>25.287965684387373</v>
      </c>
    </row>
    <row r="419" spans="1:16">
      <c r="A419" s="11">
        <v>417</v>
      </c>
      <c r="B419" s="11">
        <v>195.74999999999915</v>
      </c>
      <c r="C419" s="11">
        <v>13.941183821265067</v>
      </c>
      <c r="D419" s="11">
        <v>-3.7499999999999272</v>
      </c>
      <c r="E419" s="11">
        <v>195.75000000000006</v>
      </c>
      <c r="F419" s="11">
        <v>9.2941225475100353</v>
      </c>
      <c r="G419" s="11">
        <v>4.2632564145606011E-14</v>
      </c>
      <c r="J419" s="11">
        <v>417</v>
      </c>
      <c r="K419" s="11">
        <f t="shared" si="42"/>
        <v>195.74999999999915</v>
      </c>
      <c r="L419" s="11">
        <f t="shared" si="43"/>
        <v>3.7499999999999272</v>
      </c>
      <c r="M419" s="11">
        <f t="shared" si="44"/>
        <v>13.941183821265067</v>
      </c>
      <c r="N419" s="11">
        <f t="shared" si="45"/>
        <v>195.75000000000006</v>
      </c>
      <c r="O419" s="11">
        <f t="shared" si="46"/>
        <v>-4.2632564145606011E-14</v>
      </c>
      <c r="P419" s="11">
        <f t="shared" si="47"/>
        <v>9.2941225475100353</v>
      </c>
    </row>
    <row r="420" spans="1:16">
      <c r="A420" s="11">
        <v>418</v>
      </c>
      <c r="B420" s="11">
        <v>195.75000000000006</v>
      </c>
      <c r="C420" s="11">
        <v>18.588245095020095</v>
      </c>
      <c r="D420" s="11">
        <v>4.2632564145606011E-14</v>
      </c>
      <c r="E420" s="11">
        <v>195.74999999999915</v>
      </c>
      <c r="F420" s="11">
        <v>13.941183821265067</v>
      </c>
      <c r="G420" s="11">
        <v>-3.7499999999999272</v>
      </c>
      <c r="J420" s="11">
        <v>418</v>
      </c>
      <c r="K420" s="11">
        <f t="shared" si="42"/>
        <v>195.75000000000006</v>
      </c>
      <c r="L420" s="11">
        <f t="shared" si="43"/>
        <v>-4.2632564145606011E-14</v>
      </c>
      <c r="M420" s="11">
        <f t="shared" si="44"/>
        <v>18.588245095020095</v>
      </c>
      <c r="N420" s="11">
        <f t="shared" si="45"/>
        <v>195.74999999999915</v>
      </c>
      <c r="O420" s="11">
        <f t="shared" si="46"/>
        <v>3.7499999999999272</v>
      </c>
      <c r="P420" s="11">
        <f t="shared" si="47"/>
        <v>13.941183821265067</v>
      </c>
    </row>
    <row r="421" spans="1:16">
      <c r="A421" s="11">
        <v>419</v>
      </c>
      <c r="B421" s="11">
        <v>195.74999999999915</v>
      </c>
      <c r="C421" s="11">
        <v>8.1323572290712782</v>
      </c>
      <c r="D421" s="11">
        <v>-2.1874999999999396</v>
      </c>
      <c r="E421" s="11">
        <v>195.75000000000009</v>
      </c>
      <c r="F421" s="11">
        <v>9.2941225475100389</v>
      </c>
      <c r="G421" s="11">
        <v>4.2632564145606011E-14</v>
      </c>
      <c r="J421" s="11">
        <v>419</v>
      </c>
      <c r="K421" s="11">
        <f t="shared" si="42"/>
        <v>195.74999999999915</v>
      </c>
      <c r="L421" s="11">
        <f t="shared" si="43"/>
        <v>2.1874999999999396</v>
      </c>
      <c r="M421" s="11">
        <f t="shared" si="44"/>
        <v>8.1323572290712782</v>
      </c>
      <c r="N421" s="11">
        <f t="shared" si="45"/>
        <v>195.75000000000009</v>
      </c>
      <c r="O421" s="11">
        <f t="shared" si="46"/>
        <v>-4.2632564145606011E-14</v>
      </c>
      <c r="P421" s="11">
        <f t="shared" si="47"/>
        <v>9.2941225475100389</v>
      </c>
    </row>
    <row r="422" spans="1:16">
      <c r="A422" s="11">
        <v>420</v>
      </c>
      <c r="B422" s="11">
        <v>195.75000000000006</v>
      </c>
      <c r="C422" s="11">
        <v>22.588245095019797</v>
      </c>
      <c r="D422" s="11">
        <v>4.2632564145606011E-14</v>
      </c>
      <c r="E422" s="11">
        <v>195.75</v>
      </c>
      <c r="F422" s="11">
        <v>25.287965684387373</v>
      </c>
      <c r="G422" s="11">
        <v>-3.1249999999999565</v>
      </c>
      <c r="J422" s="11">
        <v>420</v>
      </c>
      <c r="K422" s="11">
        <f t="shared" si="42"/>
        <v>195.75000000000006</v>
      </c>
      <c r="L422" s="11">
        <f t="shared" si="43"/>
        <v>-4.2632564145606011E-14</v>
      </c>
      <c r="M422" s="11">
        <f t="shared" si="44"/>
        <v>22.588245095019797</v>
      </c>
      <c r="N422" s="11">
        <f t="shared" si="45"/>
        <v>195.75</v>
      </c>
      <c r="O422" s="11">
        <f t="shared" si="46"/>
        <v>3.1249999999999565</v>
      </c>
      <c r="P422" s="11">
        <f t="shared" si="47"/>
        <v>25.287965684387373</v>
      </c>
    </row>
    <row r="423" spans="1:16">
      <c r="A423" s="11">
        <v>421</v>
      </c>
      <c r="B423" s="11">
        <v>5.9999999999991065</v>
      </c>
      <c r="C423" s="11">
        <v>13.941183821265096</v>
      </c>
      <c r="D423" s="11">
        <v>-28.250000000000021</v>
      </c>
      <c r="E423" s="11">
        <v>6.0000000000000426</v>
      </c>
      <c r="F423" s="11">
        <v>9.2941225475100637</v>
      </c>
      <c r="G423" s="11">
        <v>-31.999999999999993</v>
      </c>
      <c r="J423" s="11">
        <v>421</v>
      </c>
      <c r="K423" s="11">
        <f t="shared" si="42"/>
        <v>5.9999999999991065</v>
      </c>
      <c r="L423" s="11">
        <f t="shared" si="43"/>
        <v>28.250000000000021</v>
      </c>
      <c r="M423" s="11">
        <f t="shared" si="44"/>
        <v>13.941183821265096</v>
      </c>
      <c r="N423" s="11">
        <f t="shared" si="45"/>
        <v>6.0000000000000426</v>
      </c>
      <c r="O423" s="11">
        <f t="shared" si="46"/>
        <v>31.999999999999993</v>
      </c>
      <c r="P423" s="11">
        <f t="shared" si="47"/>
        <v>9.2941225475100637</v>
      </c>
    </row>
    <row r="424" spans="1:16">
      <c r="A424" s="11">
        <v>422</v>
      </c>
      <c r="B424" s="11">
        <v>6.0000000000000302</v>
      </c>
      <c r="C424" s="11">
        <v>18.588245095020124</v>
      </c>
      <c r="D424" s="11">
        <v>-31.999999999999993</v>
      </c>
      <c r="E424" s="11">
        <v>5.9999999999991065</v>
      </c>
      <c r="F424" s="11">
        <v>13.941183821265096</v>
      </c>
      <c r="G424" s="11">
        <v>-28.250000000000021</v>
      </c>
      <c r="J424" s="11">
        <v>422</v>
      </c>
      <c r="K424" s="11">
        <f t="shared" si="42"/>
        <v>6.0000000000000302</v>
      </c>
      <c r="L424" s="11">
        <f t="shared" si="43"/>
        <v>31.999999999999993</v>
      </c>
      <c r="M424" s="11">
        <f t="shared" si="44"/>
        <v>18.588245095020124</v>
      </c>
      <c r="N424" s="11">
        <f t="shared" si="45"/>
        <v>5.9999999999991065</v>
      </c>
      <c r="O424" s="11">
        <f t="shared" si="46"/>
        <v>28.250000000000021</v>
      </c>
      <c r="P424" s="11">
        <f t="shared" si="47"/>
        <v>13.941183821265096</v>
      </c>
    </row>
    <row r="425" spans="1:16">
      <c r="A425" s="11">
        <v>423</v>
      </c>
      <c r="B425" s="11">
        <v>5.9999999999991065</v>
      </c>
      <c r="C425" s="11">
        <v>13.941183821265096</v>
      </c>
      <c r="D425" s="11">
        <v>-28.250000000000021</v>
      </c>
      <c r="E425" s="11">
        <v>6.0000000000000409</v>
      </c>
      <c r="F425" s="11">
        <v>13.941183821265096</v>
      </c>
      <c r="G425" s="11">
        <v>-31.999999999999993</v>
      </c>
      <c r="J425" s="11">
        <v>423</v>
      </c>
      <c r="K425" s="11">
        <f t="shared" si="42"/>
        <v>5.9999999999991065</v>
      </c>
      <c r="L425" s="11">
        <f t="shared" si="43"/>
        <v>28.250000000000021</v>
      </c>
      <c r="M425" s="11">
        <f t="shared" si="44"/>
        <v>13.941183821265096</v>
      </c>
      <c r="N425" s="11">
        <f t="shared" si="45"/>
        <v>6.0000000000000409</v>
      </c>
      <c r="O425" s="11">
        <f t="shared" si="46"/>
        <v>31.999999999999993</v>
      </c>
      <c r="P425" s="11">
        <f t="shared" si="47"/>
        <v>13.941183821265096</v>
      </c>
    </row>
    <row r="426" spans="1:16">
      <c r="A426" s="11">
        <v>424</v>
      </c>
      <c r="B426" s="11">
        <v>5.9999999999991225</v>
      </c>
      <c r="C426" s="11">
        <v>8.1323572290713066</v>
      </c>
      <c r="D426" s="11">
        <v>-29.812500000000011</v>
      </c>
      <c r="E426" s="11">
        <v>6.0000000000000515</v>
      </c>
      <c r="F426" s="11">
        <v>9.2941225475100673</v>
      </c>
      <c r="G426" s="11">
        <v>-31.999999999999993</v>
      </c>
      <c r="J426" s="11">
        <v>424</v>
      </c>
      <c r="K426" s="11">
        <f t="shared" si="42"/>
        <v>5.9999999999991225</v>
      </c>
      <c r="L426" s="11">
        <f t="shared" si="43"/>
        <v>29.812500000000011</v>
      </c>
      <c r="M426" s="11">
        <f t="shared" si="44"/>
        <v>8.1323572290713066</v>
      </c>
      <c r="N426" s="11">
        <f t="shared" si="45"/>
        <v>6.0000000000000515</v>
      </c>
      <c r="O426" s="11">
        <f t="shared" si="46"/>
        <v>31.999999999999993</v>
      </c>
      <c r="P426" s="11">
        <f t="shared" si="47"/>
        <v>9.2941225475100673</v>
      </c>
    </row>
    <row r="427" spans="1:16">
      <c r="A427" s="11">
        <v>425</v>
      </c>
      <c r="B427" s="11">
        <v>6.0000000000000204</v>
      </c>
      <c r="C427" s="11">
        <v>22.588245095019825</v>
      </c>
      <c r="D427" s="11">
        <v>-31.999999999999993</v>
      </c>
      <c r="E427" s="11">
        <v>5.999999999999968</v>
      </c>
      <c r="F427" s="11">
        <v>25.287965684387402</v>
      </c>
      <c r="G427" s="11">
        <v>-28.874999999999993</v>
      </c>
      <c r="J427" s="11">
        <v>425</v>
      </c>
      <c r="K427" s="11">
        <f t="shared" si="42"/>
        <v>6.0000000000000204</v>
      </c>
      <c r="L427" s="11">
        <f t="shared" si="43"/>
        <v>31.999999999999993</v>
      </c>
      <c r="M427" s="11">
        <f t="shared" si="44"/>
        <v>22.588245095019825</v>
      </c>
      <c r="N427" s="11">
        <f t="shared" si="45"/>
        <v>5.999999999999968</v>
      </c>
      <c r="O427" s="11">
        <f t="shared" si="46"/>
        <v>28.874999999999993</v>
      </c>
      <c r="P427" s="11">
        <f t="shared" si="47"/>
        <v>25.287965684387402</v>
      </c>
    </row>
    <row r="428" spans="1:16">
      <c r="A428" s="11">
        <v>426</v>
      </c>
      <c r="B428" s="11">
        <v>5.9999999999991065</v>
      </c>
      <c r="C428" s="11">
        <v>13.941183821265096</v>
      </c>
      <c r="D428" s="11">
        <v>-3.7499999999999698</v>
      </c>
      <c r="E428" s="11">
        <v>6.0000000000000426</v>
      </c>
      <c r="F428" s="11">
        <v>9.2941225475100637</v>
      </c>
      <c r="G428" s="11">
        <v>0</v>
      </c>
      <c r="J428" s="11">
        <v>426</v>
      </c>
      <c r="K428" s="11">
        <f t="shared" si="42"/>
        <v>5.9999999999991065</v>
      </c>
      <c r="L428" s="11">
        <f t="shared" si="43"/>
        <v>3.7499999999999698</v>
      </c>
      <c r="M428" s="11">
        <f t="shared" si="44"/>
        <v>13.941183821265096</v>
      </c>
      <c r="N428" s="11">
        <f t="shared" si="45"/>
        <v>6.0000000000000426</v>
      </c>
      <c r="O428" s="11">
        <f t="shared" si="46"/>
        <v>0</v>
      </c>
      <c r="P428" s="11">
        <f t="shared" si="47"/>
        <v>9.2941225475100637</v>
      </c>
    </row>
    <row r="429" spans="1:16">
      <c r="A429" s="11">
        <v>427</v>
      </c>
      <c r="B429" s="11">
        <v>6.0000000000000302</v>
      </c>
      <c r="C429" s="11">
        <v>18.588245095020124</v>
      </c>
      <c r="D429" s="11">
        <v>0</v>
      </c>
      <c r="E429" s="11">
        <v>5.9999999999991065</v>
      </c>
      <c r="F429" s="11">
        <v>13.941183821265096</v>
      </c>
      <c r="G429" s="11">
        <v>-3.7499999999999698</v>
      </c>
      <c r="J429" s="11">
        <v>427</v>
      </c>
      <c r="K429" s="11">
        <f t="shared" si="42"/>
        <v>6.0000000000000302</v>
      </c>
      <c r="L429" s="11">
        <f t="shared" si="43"/>
        <v>0</v>
      </c>
      <c r="M429" s="11">
        <f t="shared" si="44"/>
        <v>18.588245095020124</v>
      </c>
      <c r="N429" s="11">
        <f t="shared" si="45"/>
        <v>5.9999999999991065</v>
      </c>
      <c r="O429" s="11">
        <f t="shared" si="46"/>
        <v>3.7499999999999698</v>
      </c>
      <c r="P429" s="11">
        <f t="shared" si="47"/>
        <v>13.941183821265096</v>
      </c>
    </row>
    <row r="430" spans="1:16">
      <c r="A430" s="11">
        <v>428</v>
      </c>
      <c r="B430" s="11">
        <v>5.9999999999991065</v>
      </c>
      <c r="C430" s="11">
        <v>13.941183821265096</v>
      </c>
      <c r="D430" s="11">
        <v>-3.7499999999999698</v>
      </c>
      <c r="E430" s="11">
        <v>6.0000000000000409</v>
      </c>
      <c r="F430" s="11">
        <v>13.941183821265096</v>
      </c>
      <c r="G430" s="11">
        <v>0</v>
      </c>
      <c r="J430" s="11">
        <v>428</v>
      </c>
      <c r="K430" s="11">
        <f t="shared" si="42"/>
        <v>5.9999999999991065</v>
      </c>
      <c r="L430" s="11">
        <f t="shared" si="43"/>
        <v>3.7499999999999698</v>
      </c>
      <c r="M430" s="11">
        <f t="shared" si="44"/>
        <v>13.941183821265096</v>
      </c>
      <c r="N430" s="11">
        <f t="shared" si="45"/>
        <v>6.0000000000000409</v>
      </c>
      <c r="O430" s="11">
        <f t="shared" si="46"/>
        <v>0</v>
      </c>
      <c r="P430" s="11">
        <f t="shared" si="47"/>
        <v>13.941183821265096</v>
      </c>
    </row>
    <row r="431" spans="1:16">
      <c r="A431" s="11">
        <v>429</v>
      </c>
      <c r="B431" s="11">
        <v>5.9999999999991225</v>
      </c>
      <c r="C431" s="11">
        <v>8.1323572290713066</v>
      </c>
      <c r="D431" s="11">
        <v>-2.1874999999999822</v>
      </c>
      <c r="E431" s="11">
        <v>6.0000000000000515</v>
      </c>
      <c r="F431" s="11">
        <v>9.2941225475100673</v>
      </c>
      <c r="G431" s="11">
        <v>0</v>
      </c>
      <c r="J431" s="11">
        <v>429</v>
      </c>
      <c r="K431" s="11">
        <f t="shared" si="42"/>
        <v>5.9999999999991225</v>
      </c>
      <c r="L431" s="11">
        <f t="shared" si="43"/>
        <v>2.1874999999999822</v>
      </c>
      <c r="M431" s="11">
        <f t="shared" si="44"/>
        <v>8.1323572290713066</v>
      </c>
      <c r="N431" s="11">
        <f t="shared" si="45"/>
        <v>6.0000000000000515</v>
      </c>
      <c r="O431" s="11">
        <f t="shared" si="46"/>
        <v>0</v>
      </c>
      <c r="P431" s="11">
        <f t="shared" si="47"/>
        <v>9.2941225475100673</v>
      </c>
    </row>
    <row r="432" spans="1:16">
      <c r="A432" s="11">
        <v>430</v>
      </c>
      <c r="B432" s="11">
        <v>195.74999999999909</v>
      </c>
      <c r="C432" s="11">
        <v>18.588245095019932</v>
      </c>
      <c r="D432" s="11">
        <v>-21.499999999942549</v>
      </c>
      <c r="E432" s="11">
        <v>195.75000000000006</v>
      </c>
      <c r="F432" s="11">
        <v>22.588245095020007</v>
      </c>
      <c r="G432" s="11">
        <v>-26.99999999999995</v>
      </c>
      <c r="J432" s="11">
        <v>430</v>
      </c>
      <c r="K432" s="11">
        <f t="shared" si="42"/>
        <v>195.74999999999909</v>
      </c>
      <c r="L432" s="11">
        <f t="shared" si="43"/>
        <v>21.499999999942549</v>
      </c>
      <c r="M432" s="11">
        <f t="shared" si="44"/>
        <v>18.588245095019932</v>
      </c>
      <c r="N432" s="11">
        <f t="shared" si="45"/>
        <v>195.75000000000006</v>
      </c>
      <c r="O432" s="11">
        <f t="shared" si="46"/>
        <v>26.99999999999995</v>
      </c>
      <c r="P432" s="11">
        <f t="shared" si="47"/>
        <v>22.588245095020007</v>
      </c>
    </row>
    <row r="433" spans="1:16">
      <c r="A433" s="11">
        <v>431</v>
      </c>
      <c r="B433" s="11">
        <v>195.75000000000003</v>
      </c>
      <c r="C433" s="11">
        <v>22.5882450950199</v>
      </c>
      <c r="D433" s="11">
        <v>-15.999999999999954</v>
      </c>
      <c r="E433" s="11">
        <v>195.74999999999909</v>
      </c>
      <c r="F433" s="11">
        <v>18.588245095019932</v>
      </c>
      <c r="G433" s="11">
        <v>-21.499999999942549</v>
      </c>
      <c r="J433" s="11">
        <v>431</v>
      </c>
      <c r="K433" s="11">
        <f t="shared" si="42"/>
        <v>195.75000000000003</v>
      </c>
      <c r="L433" s="11">
        <f t="shared" si="43"/>
        <v>15.999999999999954</v>
      </c>
      <c r="M433" s="11">
        <f t="shared" si="44"/>
        <v>22.5882450950199</v>
      </c>
      <c r="N433" s="11">
        <f t="shared" si="45"/>
        <v>195.74999999999909</v>
      </c>
      <c r="O433" s="11">
        <f t="shared" si="46"/>
        <v>21.499999999942549</v>
      </c>
      <c r="P433" s="11">
        <f t="shared" si="47"/>
        <v>18.588245095019932</v>
      </c>
    </row>
    <row r="434" spans="1:16">
      <c r="A434" s="11">
        <v>432</v>
      </c>
      <c r="B434" s="11">
        <v>195.74999999999912</v>
      </c>
      <c r="C434" s="11">
        <v>18.588245095020039</v>
      </c>
      <c r="D434" s="11">
        <v>-10.499999999947232</v>
      </c>
      <c r="E434" s="11">
        <v>195.75000000000003</v>
      </c>
      <c r="F434" s="11">
        <v>22.5882450950199</v>
      </c>
      <c r="G434" s="11">
        <v>-15.999999999999954</v>
      </c>
      <c r="J434" s="11">
        <v>432</v>
      </c>
      <c r="K434" s="11">
        <f t="shared" si="42"/>
        <v>195.74999999999912</v>
      </c>
      <c r="L434" s="11">
        <f t="shared" si="43"/>
        <v>10.499999999947232</v>
      </c>
      <c r="M434" s="11">
        <f t="shared" si="44"/>
        <v>18.588245095020039</v>
      </c>
      <c r="N434" s="11">
        <f t="shared" si="45"/>
        <v>195.75000000000003</v>
      </c>
      <c r="O434" s="11">
        <f t="shared" si="46"/>
        <v>15.999999999999954</v>
      </c>
      <c r="P434" s="11">
        <f t="shared" si="47"/>
        <v>22.5882450950199</v>
      </c>
    </row>
    <row r="435" spans="1:16">
      <c r="A435" s="11">
        <v>433</v>
      </c>
      <c r="B435" s="11">
        <v>195.74999999999997</v>
      </c>
      <c r="C435" s="11">
        <v>22.588245095019797</v>
      </c>
      <c r="D435" s="11">
        <v>-4.9999999999999556</v>
      </c>
      <c r="E435" s="11">
        <v>195.74999999999912</v>
      </c>
      <c r="F435" s="11">
        <v>18.588245095020039</v>
      </c>
      <c r="G435" s="11">
        <v>-10.499999999947232</v>
      </c>
      <c r="J435" s="11">
        <v>433</v>
      </c>
      <c r="K435" s="11">
        <f t="shared" si="42"/>
        <v>195.74999999999997</v>
      </c>
      <c r="L435" s="11">
        <f t="shared" si="43"/>
        <v>4.9999999999999556</v>
      </c>
      <c r="M435" s="11">
        <f t="shared" si="44"/>
        <v>22.588245095019797</v>
      </c>
      <c r="N435" s="11">
        <f t="shared" si="45"/>
        <v>195.74999999999912</v>
      </c>
      <c r="O435" s="11">
        <f t="shared" si="46"/>
        <v>10.499999999947232</v>
      </c>
      <c r="P435" s="11">
        <f t="shared" si="47"/>
        <v>18.588245095020039</v>
      </c>
    </row>
    <row r="436" spans="1:16">
      <c r="A436" s="11">
        <v>434</v>
      </c>
      <c r="B436" s="11">
        <v>195.75000000000006</v>
      </c>
      <c r="C436" s="11">
        <v>18.588245095020095</v>
      </c>
      <c r="D436" s="11">
        <v>4.2632564145606011E-14</v>
      </c>
      <c r="E436" s="11">
        <v>195.74999999999997</v>
      </c>
      <c r="F436" s="11">
        <v>22.588245095019797</v>
      </c>
      <c r="G436" s="11">
        <v>-4.9999999999999556</v>
      </c>
      <c r="J436" s="11">
        <v>434</v>
      </c>
      <c r="K436" s="11">
        <f t="shared" si="42"/>
        <v>195.75000000000006</v>
      </c>
      <c r="L436" s="11">
        <f t="shared" si="43"/>
        <v>-4.2632564145606011E-14</v>
      </c>
      <c r="M436" s="11">
        <f t="shared" si="44"/>
        <v>18.588245095020095</v>
      </c>
      <c r="N436" s="11">
        <f t="shared" si="45"/>
        <v>195.74999999999997</v>
      </c>
      <c r="O436" s="11">
        <f t="shared" si="46"/>
        <v>4.9999999999999556</v>
      </c>
      <c r="P436" s="11">
        <f t="shared" si="47"/>
        <v>22.588245095019797</v>
      </c>
    </row>
    <row r="437" spans="1:16">
      <c r="A437" s="11">
        <v>435</v>
      </c>
      <c r="B437" s="11">
        <v>195.75</v>
      </c>
      <c r="C437" s="11">
        <v>18.588245095019879</v>
      </c>
      <c r="D437" s="11">
        <v>-31.999999999999947</v>
      </c>
      <c r="E437" s="11">
        <v>195.75000000000003</v>
      </c>
      <c r="F437" s="11">
        <v>0</v>
      </c>
      <c r="G437" s="11">
        <v>-31.99999999999995</v>
      </c>
      <c r="J437" s="11">
        <v>435</v>
      </c>
      <c r="K437" s="11">
        <f t="shared" si="42"/>
        <v>195.75</v>
      </c>
      <c r="L437" s="11">
        <f t="shared" si="43"/>
        <v>31.999999999999947</v>
      </c>
      <c r="M437" s="11">
        <f t="shared" si="44"/>
        <v>18.588245095019879</v>
      </c>
      <c r="N437" s="11">
        <f t="shared" si="45"/>
        <v>195.75000000000003</v>
      </c>
      <c r="O437" s="11">
        <f t="shared" si="46"/>
        <v>31.99999999999995</v>
      </c>
      <c r="P437" s="11">
        <f t="shared" si="47"/>
        <v>0</v>
      </c>
    </row>
    <row r="438" spans="1:16">
      <c r="A438" s="11">
        <v>436</v>
      </c>
      <c r="B438" s="11">
        <v>195.75000000000006</v>
      </c>
      <c r="C438" s="11">
        <v>22.588245095020007</v>
      </c>
      <c r="D438" s="11">
        <v>-26.99999999999995</v>
      </c>
      <c r="E438" s="11">
        <v>195.75</v>
      </c>
      <c r="F438" s="11">
        <v>18.588245095019879</v>
      </c>
      <c r="G438" s="11">
        <v>-31.999999999999947</v>
      </c>
      <c r="J438" s="11">
        <v>436</v>
      </c>
      <c r="K438" s="11">
        <f t="shared" si="42"/>
        <v>195.75000000000006</v>
      </c>
      <c r="L438" s="11">
        <f t="shared" si="43"/>
        <v>26.99999999999995</v>
      </c>
      <c r="M438" s="11">
        <f t="shared" si="44"/>
        <v>22.588245095020007</v>
      </c>
      <c r="N438" s="11">
        <f t="shared" si="45"/>
        <v>195.75</v>
      </c>
      <c r="O438" s="11">
        <f t="shared" si="46"/>
        <v>31.999999999999947</v>
      </c>
      <c r="P438" s="11">
        <f t="shared" si="47"/>
        <v>18.588245095019879</v>
      </c>
    </row>
    <row r="439" spans="1:16">
      <c r="A439" s="11">
        <v>437</v>
      </c>
      <c r="B439" s="11">
        <v>5.9999999999990523</v>
      </c>
      <c r="C439" s="11">
        <v>18.58824509501996</v>
      </c>
      <c r="D439" s="11">
        <v>-21.499999999942592</v>
      </c>
      <c r="E439" s="11">
        <v>6.0000000000000382</v>
      </c>
      <c r="F439" s="11">
        <v>22.588245095020035</v>
      </c>
      <c r="G439" s="11">
        <v>-26.999999999999993</v>
      </c>
      <c r="J439" s="11">
        <v>437</v>
      </c>
      <c r="K439" s="11">
        <f t="shared" si="42"/>
        <v>5.9999999999990523</v>
      </c>
      <c r="L439" s="11">
        <f t="shared" si="43"/>
        <v>21.499999999942592</v>
      </c>
      <c r="M439" s="11">
        <f t="shared" si="44"/>
        <v>18.58824509501996</v>
      </c>
      <c r="N439" s="11">
        <f t="shared" si="45"/>
        <v>6.0000000000000382</v>
      </c>
      <c r="O439" s="11">
        <f t="shared" si="46"/>
        <v>26.999999999999993</v>
      </c>
      <c r="P439" s="11">
        <f t="shared" si="47"/>
        <v>22.588245095020035</v>
      </c>
    </row>
    <row r="440" spans="1:16">
      <c r="A440" s="11">
        <v>438</v>
      </c>
      <c r="B440" s="11">
        <v>5.9999999999999929</v>
      </c>
      <c r="C440" s="11">
        <v>22.588245095019928</v>
      </c>
      <c r="D440" s="11">
        <v>-15.999999999999996</v>
      </c>
      <c r="E440" s="11">
        <v>5.9999999999990523</v>
      </c>
      <c r="F440" s="11">
        <v>18.58824509501996</v>
      </c>
      <c r="G440" s="11">
        <v>-21.499999999942592</v>
      </c>
      <c r="J440" s="11">
        <v>438</v>
      </c>
      <c r="K440" s="11">
        <f t="shared" si="42"/>
        <v>5.9999999999999929</v>
      </c>
      <c r="L440" s="11">
        <f t="shared" si="43"/>
        <v>15.999999999999996</v>
      </c>
      <c r="M440" s="11">
        <f t="shared" si="44"/>
        <v>22.588245095019928</v>
      </c>
      <c r="N440" s="11">
        <f t="shared" si="45"/>
        <v>5.9999999999990523</v>
      </c>
      <c r="O440" s="11">
        <f t="shared" si="46"/>
        <v>21.499999999942592</v>
      </c>
      <c r="P440" s="11">
        <f t="shared" si="47"/>
        <v>18.58824509501996</v>
      </c>
    </row>
    <row r="441" spans="1:16">
      <c r="A441" s="11">
        <v>439</v>
      </c>
      <c r="B441" s="11">
        <v>5.9999999999990807</v>
      </c>
      <c r="C441" s="11">
        <v>18.588245095020067</v>
      </c>
      <c r="D441" s="11">
        <v>-10.499999999947274</v>
      </c>
      <c r="E441" s="11">
        <v>5.9999999999999929</v>
      </c>
      <c r="F441" s="11">
        <v>22.588245095019928</v>
      </c>
      <c r="G441" s="11">
        <v>-15.999999999999996</v>
      </c>
      <c r="J441" s="11">
        <v>439</v>
      </c>
      <c r="K441" s="11">
        <f t="shared" si="42"/>
        <v>5.9999999999990807</v>
      </c>
      <c r="L441" s="11">
        <f t="shared" si="43"/>
        <v>10.499999999947274</v>
      </c>
      <c r="M441" s="11">
        <f t="shared" si="44"/>
        <v>18.588245095020067</v>
      </c>
      <c r="N441" s="11">
        <f t="shared" si="45"/>
        <v>5.9999999999999929</v>
      </c>
      <c r="O441" s="11">
        <f t="shared" si="46"/>
        <v>15.999999999999996</v>
      </c>
      <c r="P441" s="11">
        <f t="shared" si="47"/>
        <v>22.588245095019928</v>
      </c>
    </row>
    <row r="442" spans="1:16">
      <c r="A442" s="11">
        <v>440</v>
      </c>
      <c r="B442" s="11">
        <v>5.9999999999999476</v>
      </c>
      <c r="C442" s="11">
        <v>22.588245095019825</v>
      </c>
      <c r="D442" s="11">
        <v>-4.9999999999999982</v>
      </c>
      <c r="E442" s="11">
        <v>5.9999999999990807</v>
      </c>
      <c r="F442" s="11">
        <v>18.588245095020067</v>
      </c>
      <c r="G442" s="11">
        <v>-10.499999999947274</v>
      </c>
      <c r="J442" s="11">
        <v>440</v>
      </c>
      <c r="K442" s="11">
        <f t="shared" si="42"/>
        <v>5.9999999999999476</v>
      </c>
      <c r="L442" s="11">
        <f t="shared" si="43"/>
        <v>4.9999999999999982</v>
      </c>
      <c r="M442" s="11">
        <f t="shared" si="44"/>
        <v>22.588245095019825</v>
      </c>
      <c r="N442" s="11">
        <f t="shared" si="45"/>
        <v>5.9999999999990807</v>
      </c>
      <c r="O442" s="11">
        <f t="shared" si="46"/>
        <v>10.499999999947274</v>
      </c>
      <c r="P442" s="11">
        <f t="shared" si="47"/>
        <v>18.588245095020067</v>
      </c>
    </row>
    <row r="443" spans="1:16">
      <c r="A443" s="11">
        <v>441</v>
      </c>
      <c r="B443" s="11">
        <v>6.0000000000000204</v>
      </c>
      <c r="C443" s="11">
        <v>22.588245095019825</v>
      </c>
      <c r="D443" s="11">
        <v>0</v>
      </c>
      <c r="E443" s="11">
        <v>5.999999999999968</v>
      </c>
      <c r="F443" s="11">
        <v>25.287965684387402</v>
      </c>
      <c r="G443" s="11">
        <v>-3.1249999999999991</v>
      </c>
      <c r="J443" s="11">
        <v>441</v>
      </c>
      <c r="K443" s="11">
        <f t="shared" si="42"/>
        <v>6.0000000000000204</v>
      </c>
      <c r="L443" s="11">
        <f t="shared" si="43"/>
        <v>0</v>
      </c>
      <c r="M443" s="11">
        <f t="shared" si="44"/>
        <v>22.588245095019825</v>
      </c>
      <c r="N443" s="11">
        <f t="shared" si="45"/>
        <v>5.999999999999968</v>
      </c>
      <c r="O443" s="11">
        <f t="shared" si="46"/>
        <v>3.1249999999999991</v>
      </c>
      <c r="P443" s="11">
        <f t="shared" si="47"/>
        <v>25.287965684387402</v>
      </c>
    </row>
    <row r="444" spans="1:16">
      <c r="A444" s="11">
        <v>442</v>
      </c>
      <c r="B444" s="11">
        <v>6.0000000000000302</v>
      </c>
      <c r="C444" s="11">
        <v>18.588245095020124</v>
      </c>
      <c r="D444" s="11">
        <v>0</v>
      </c>
      <c r="E444" s="11">
        <v>5.9999999999999476</v>
      </c>
      <c r="F444" s="11">
        <v>22.588245095019825</v>
      </c>
      <c r="G444" s="11">
        <v>-4.9999999999999982</v>
      </c>
      <c r="J444" s="11">
        <v>442</v>
      </c>
      <c r="K444" s="11">
        <f t="shared" si="42"/>
        <v>6.0000000000000302</v>
      </c>
      <c r="L444" s="11">
        <f t="shared" si="43"/>
        <v>0</v>
      </c>
      <c r="M444" s="11">
        <f t="shared" si="44"/>
        <v>18.588245095020124</v>
      </c>
      <c r="N444" s="11">
        <f t="shared" si="45"/>
        <v>5.9999999999999476</v>
      </c>
      <c r="O444" s="11">
        <f t="shared" si="46"/>
        <v>4.9999999999999982</v>
      </c>
      <c r="P444" s="11">
        <f t="shared" si="47"/>
        <v>22.588245095019825</v>
      </c>
    </row>
    <row r="445" spans="1:16">
      <c r="A445" s="11">
        <v>443</v>
      </c>
      <c r="B445" s="11">
        <v>5.9999999999999689</v>
      </c>
      <c r="C445" s="11">
        <v>18.588245095019907</v>
      </c>
      <c r="D445" s="11">
        <v>-31.999999999999989</v>
      </c>
      <c r="E445" s="11">
        <v>6.0000000000000133</v>
      </c>
      <c r="F445" s="11">
        <v>2.8421709430404007E-14</v>
      </c>
      <c r="G445" s="11">
        <v>-31.999999999999993</v>
      </c>
      <c r="J445" s="11">
        <v>443</v>
      </c>
      <c r="K445" s="11">
        <f t="shared" si="42"/>
        <v>5.9999999999999689</v>
      </c>
      <c r="L445" s="11">
        <f t="shared" si="43"/>
        <v>31.999999999999989</v>
      </c>
      <c r="M445" s="11">
        <f t="shared" si="44"/>
        <v>18.588245095019907</v>
      </c>
      <c r="N445" s="11">
        <f t="shared" si="45"/>
        <v>6.0000000000000133</v>
      </c>
      <c r="O445" s="11">
        <f t="shared" si="46"/>
        <v>31.999999999999993</v>
      </c>
      <c r="P445" s="11">
        <f t="shared" si="47"/>
        <v>2.8421709430404007E-14</v>
      </c>
    </row>
    <row r="446" spans="1:16">
      <c r="A446" s="11">
        <v>444</v>
      </c>
      <c r="B446" s="11">
        <v>6.0000000000000382</v>
      </c>
      <c r="C446" s="11">
        <v>22.588245095020035</v>
      </c>
      <c r="D446" s="11">
        <v>-26.999999999999993</v>
      </c>
      <c r="E446" s="11">
        <v>5.9999999999999689</v>
      </c>
      <c r="F446" s="11">
        <v>18.588245095019907</v>
      </c>
      <c r="G446" s="11">
        <v>-31.999999999999989</v>
      </c>
      <c r="J446" s="11">
        <v>444</v>
      </c>
      <c r="K446" s="11">
        <f t="shared" si="42"/>
        <v>6.0000000000000382</v>
      </c>
      <c r="L446" s="11">
        <f t="shared" si="43"/>
        <v>26.999999999999993</v>
      </c>
      <c r="M446" s="11">
        <f t="shared" si="44"/>
        <v>22.588245095020035</v>
      </c>
      <c r="N446" s="11">
        <f t="shared" si="45"/>
        <v>5.9999999999999689</v>
      </c>
      <c r="O446" s="11">
        <f t="shared" si="46"/>
        <v>31.999999999999989</v>
      </c>
      <c r="P446" s="11">
        <f t="shared" si="47"/>
        <v>18.588245095019907</v>
      </c>
    </row>
    <row r="447" spans="1:16">
      <c r="A447" s="11">
        <v>445</v>
      </c>
      <c r="B447" s="11">
        <v>199.24999999999997</v>
      </c>
      <c r="C447" s="11">
        <v>22.588245095019797</v>
      </c>
      <c r="D447" s="11">
        <v>-5.0000000000503002</v>
      </c>
      <c r="E447" s="11">
        <v>199.24999999999997</v>
      </c>
      <c r="F447" s="11">
        <v>22.588245095019797</v>
      </c>
      <c r="G447" s="11">
        <v>-26.999999999948997</v>
      </c>
      <c r="J447" s="11">
        <v>445</v>
      </c>
      <c r="K447" s="11">
        <f t="shared" si="42"/>
        <v>199.24999999999997</v>
      </c>
      <c r="L447" s="11">
        <f t="shared" si="43"/>
        <v>5.0000000000503002</v>
      </c>
      <c r="M447" s="11">
        <f t="shared" si="44"/>
        <v>22.588245095019797</v>
      </c>
      <c r="N447" s="11">
        <f t="shared" si="45"/>
        <v>199.24999999999997</v>
      </c>
      <c r="O447" s="11">
        <f t="shared" si="46"/>
        <v>26.999999999948997</v>
      </c>
      <c r="P447" s="11">
        <f t="shared" si="47"/>
        <v>22.588245095019797</v>
      </c>
    </row>
    <row r="448" spans="1:16">
      <c r="A448" s="11">
        <v>446</v>
      </c>
      <c r="B448" s="11">
        <v>195.74999999999912</v>
      </c>
      <c r="C448" s="11">
        <v>18.588245095020092</v>
      </c>
      <c r="D448" s="11">
        <v>-4.9999999999999165</v>
      </c>
      <c r="E448" s="11">
        <v>195.75000000000006</v>
      </c>
      <c r="F448" s="11">
        <v>18.588245095020095</v>
      </c>
      <c r="G448" s="11">
        <v>4.2632564145606011E-14</v>
      </c>
      <c r="J448" s="11">
        <v>446</v>
      </c>
      <c r="K448" s="11">
        <f t="shared" si="42"/>
        <v>195.74999999999912</v>
      </c>
      <c r="L448" s="11">
        <f t="shared" si="43"/>
        <v>4.9999999999999165</v>
      </c>
      <c r="M448" s="11">
        <f t="shared" si="44"/>
        <v>18.588245095020092</v>
      </c>
      <c r="N448" s="11">
        <f t="shared" si="45"/>
        <v>195.75000000000006</v>
      </c>
      <c r="O448" s="11">
        <f t="shared" si="46"/>
        <v>-4.2632564145606011E-14</v>
      </c>
      <c r="P448" s="11">
        <f t="shared" si="47"/>
        <v>18.588245095020095</v>
      </c>
    </row>
    <row r="449" spans="1:16">
      <c r="A449" s="11">
        <v>447</v>
      </c>
      <c r="B449" s="11">
        <v>195.74999999999997</v>
      </c>
      <c r="C449" s="11">
        <v>22.588245095019797</v>
      </c>
      <c r="D449" s="11">
        <v>-4.9999999999999556</v>
      </c>
      <c r="E449" s="11">
        <v>195.75000000000006</v>
      </c>
      <c r="F449" s="11">
        <v>22.588245095019797</v>
      </c>
      <c r="G449" s="11">
        <v>4.2632564145606011E-14</v>
      </c>
      <c r="J449" s="11">
        <v>447</v>
      </c>
      <c r="K449" s="11">
        <f t="shared" si="42"/>
        <v>195.74999999999997</v>
      </c>
      <c r="L449" s="11">
        <f t="shared" si="43"/>
        <v>4.9999999999999556</v>
      </c>
      <c r="M449" s="11">
        <f t="shared" si="44"/>
        <v>22.588245095019797</v>
      </c>
      <c r="N449" s="11">
        <f t="shared" si="45"/>
        <v>195.75000000000006</v>
      </c>
      <c r="O449" s="11">
        <f t="shared" si="46"/>
        <v>-4.2632564145606011E-14</v>
      </c>
      <c r="P449" s="11">
        <f t="shared" si="47"/>
        <v>22.588245095019797</v>
      </c>
    </row>
    <row r="450" spans="1:16">
      <c r="A450" s="11">
        <v>448</v>
      </c>
      <c r="B450" s="11">
        <v>195.74999999999906</v>
      </c>
      <c r="C450" s="11">
        <v>18.588245095019879</v>
      </c>
      <c r="D450" s="11">
        <v>-26.999999999940208</v>
      </c>
      <c r="E450" s="11">
        <v>195.75</v>
      </c>
      <c r="F450" s="11">
        <v>18.588245095019879</v>
      </c>
      <c r="G450" s="11">
        <v>-31.999999999999947</v>
      </c>
      <c r="J450" s="11">
        <v>448</v>
      </c>
      <c r="K450" s="11">
        <f t="shared" si="42"/>
        <v>195.74999999999906</v>
      </c>
      <c r="L450" s="11">
        <f t="shared" si="43"/>
        <v>26.999999999940208</v>
      </c>
      <c r="M450" s="11">
        <f t="shared" si="44"/>
        <v>18.588245095019879</v>
      </c>
      <c r="N450" s="11">
        <f t="shared" si="45"/>
        <v>195.75</v>
      </c>
      <c r="O450" s="11">
        <f t="shared" si="46"/>
        <v>31.999999999999947</v>
      </c>
      <c r="P450" s="11">
        <f t="shared" si="47"/>
        <v>18.588245095019879</v>
      </c>
    </row>
    <row r="451" spans="1:16">
      <c r="A451" s="11">
        <v>449</v>
      </c>
      <c r="B451" s="11">
        <v>195.75000000000006</v>
      </c>
      <c r="C451" s="11">
        <v>22.588245095020007</v>
      </c>
      <c r="D451" s="11">
        <v>-26.99999999999995</v>
      </c>
      <c r="E451" s="11">
        <v>195.74999999999997</v>
      </c>
      <c r="F451" s="11">
        <v>22.588245095020007</v>
      </c>
      <c r="G451" s="11">
        <v>-31.99999999999995</v>
      </c>
      <c r="J451" s="11">
        <v>449</v>
      </c>
      <c r="K451" s="11">
        <f t="shared" si="42"/>
        <v>195.75000000000006</v>
      </c>
      <c r="L451" s="11">
        <f t="shared" si="43"/>
        <v>26.99999999999995</v>
      </c>
      <c r="M451" s="11">
        <f t="shared" si="44"/>
        <v>22.588245095020007</v>
      </c>
      <c r="N451" s="11">
        <f t="shared" si="45"/>
        <v>195.74999999999997</v>
      </c>
      <c r="O451" s="11">
        <f t="shared" si="46"/>
        <v>31.99999999999995</v>
      </c>
      <c r="P451" s="11">
        <f t="shared" si="47"/>
        <v>22.588245095020007</v>
      </c>
    </row>
    <row r="452" spans="1:16">
      <c r="A452" s="11">
        <v>450</v>
      </c>
      <c r="B452" s="11">
        <v>195.75000000000006</v>
      </c>
      <c r="C452" s="11">
        <v>22.588245095020007</v>
      </c>
      <c r="D452" s="11">
        <v>-26.99999999999995</v>
      </c>
      <c r="E452" s="11">
        <v>195.74999999999997</v>
      </c>
      <c r="F452" s="11">
        <v>22.588245095019797</v>
      </c>
      <c r="G452" s="11">
        <v>-4.9999999999999556</v>
      </c>
      <c r="J452" s="11">
        <v>450</v>
      </c>
      <c r="K452" s="11">
        <f t="shared" ref="K452:K459" si="48">$Y$11*B452+$Z$11*C452+$AA$11*D452</f>
        <v>195.75000000000006</v>
      </c>
      <c r="L452" s="11">
        <f t="shared" ref="L452:L459" si="49">$Y$12*B452+$Z$12*C452+$AA$12*D452</f>
        <v>26.99999999999995</v>
      </c>
      <c r="M452" s="11">
        <f t="shared" ref="M452:M459" si="50">$Y$13*B452+$Z$13*C452+$AA$13*D452</f>
        <v>22.588245095020007</v>
      </c>
      <c r="N452" s="11">
        <f t="shared" ref="N452:N459" si="51">$Y$11*E452+$Z$11*F452+$AA$11*G452</f>
        <v>195.74999999999997</v>
      </c>
      <c r="O452" s="11">
        <f t="shared" ref="O452:O459" si="52">$Y$12*E452+$Z$12*F452+$AA$12*G452</f>
        <v>4.9999999999999556</v>
      </c>
      <c r="P452" s="11">
        <f t="shared" ref="P452:P459" si="53">$Y$13*E452+$Z$13*F452+$AA$13*G452</f>
        <v>22.588245095019797</v>
      </c>
    </row>
    <row r="453" spans="1:16">
      <c r="A453" s="11">
        <v>451</v>
      </c>
      <c r="B453" s="11">
        <v>195.74999999999906</v>
      </c>
      <c r="C453" s="11">
        <v>18.588245095019879</v>
      </c>
      <c r="D453" s="11">
        <v>-26.999999999940208</v>
      </c>
      <c r="E453" s="11">
        <v>195.74999999999912</v>
      </c>
      <c r="F453" s="11">
        <v>18.588245095020092</v>
      </c>
      <c r="G453" s="11">
        <v>-4.9999999999495719</v>
      </c>
      <c r="J453" s="11">
        <v>451</v>
      </c>
      <c r="K453" s="11">
        <f t="shared" si="48"/>
        <v>195.74999999999906</v>
      </c>
      <c r="L453" s="11">
        <f t="shared" si="49"/>
        <v>26.999999999940208</v>
      </c>
      <c r="M453" s="11">
        <f t="shared" si="50"/>
        <v>18.588245095019879</v>
      </c>
      <c r="N453" s="11">
        <f t="shared" si="51"/>
        <v>195.74999999999912</v>
      </c>
      <c r="O453" s="11">
        <f t="shared" si="52"/>
        <v>4.9999999999495719</v>
      </c>
      <c r="P453" s="11">
        <f t="shared" si="53"/>
        <v>18.588245095020092</v>
      </c>
    </row>
    <row r="454" spans="1:16">
      <c r="A454" s="11">
        <v>452</v>
      </c>
      <c r="B454" s="11">
        <v>5.9999999999990958</v>
      </c>
      <c r="C454" s="11">
        <v>18.58824509502012</v>
      </c>
      <c r="D454" s="11">
        <v>-4.9999999999999591</v>
      </c>
      <c r="E454" s="11">
        <v>6.0000000000000302</v>
      </c>
      <c r="F454" s="11">
        <v>18.588245095020124</v>
      </c>
      <c r="G454" s="11">
        <v>0</v>
      </c>
      <c r="J454" s="11">
        <v>452</v>
      </c>
      <c r="K454" s="11">
        <f t="shared" si="48"/>
        <v>5.9999999999990958</v>
      </c>
      <c r="L454" s="11">
        <f t="shared" si="49"/>
        <v>4.9999999999999591</v>
      </c>
      <c r="M454" s="11">
        <f t="shared" si="50"/>
        <v>18.58824509502012</v>
      </c>
      <c r="N454" s="11">
        <f t="shared" si="51"/>
        <v>6.0000000000000302</v>
      </c>
      <c r="O454" s="11">
        <f t="shared" si="52"/>
        <v>0</v>
      </c>
      <c r="P454" s="11">
        <f t="shared" si="53"/>
        <v>18.588245095020124</v>
      </c>
    </row>
    <row r="455" spans="1:16">
      <c r="A455" s="11">
        <v>453</v>
      </c>
      <c r="B455" s="11">
        <v>5.9999999999999476</v>
      </c>
      <c r="C455" s="11">
        <v>22.588245095019825</v>
      </c>
      <c r="D455" s="11">
        <v>-4.9999999999999982</v>
      </c>
      <c r="E455" s="11">
        <v>6.0000000000000204</v>
      </c>
      <c r="F455" s="11">
        <v>22.588245095019825</v>
      </c>
      <c r="G455" s="11">
        <v>0</v>
      </c>
      <c r="J455" s="11">
        <v>453</v>
      </c>
      <c r="K455" s="11">
        <f t="shared" si="48"/>
        <v>5.9999999999999476</v>
      </c>
      <c r="L455" s="11">
        <f t="shared" si="49"/>
        <v>4.9999999999999982</v>
      </c>
      <c r="M455" s="11">
        <f t="shared" si="50"/>
        <v>22.588245095019825</v>
      </c>
      <c r="N455" s="11">
        <f t="shared" si="51"/>
        <v>6.0000000000000204</v>
      </c>
      <c r="O455" s="11">
        <f t="shared" si="52"/>
        <v>0</v>
      </c>
      <c r="P455" s="11">
        <f t="shared" si="53"/>
        <v>22.588245095019825</v>
      </c>
    </row>
    <row r="456" spans="1:16">
      <c r="A456" s="11">
        <v>454</v>
      </c>
      <c r="B456" s="11">
        <v>5.9999999999990381</v>
      </c>
      <c r="C456" s="11">
        <v>18.588245095019907</v>
      </c>
      <c r="D456" s="11">
        <v>-26.99999999994025</v>
      </c>
      <c r="E456" s="11">
        <v>5.9999999999999689</v>
      </c>
      <c r="F456" s="11">
        <v>18.588245095019907</v>
      </c>
      <c r="G456" s="11">
        <v>-31.999999999999989</v>
      </c>
      <c r="J456" s="11">
        <v>454</v>
      </c>
      <c r="K456" s="11">
        <f t="shared" si="48"/>
        <v>5.9999999999990381</v>
      </c>
      <c r="L456" s="11">
        <f t="shared" si="49"/>
        <v>26.99999999994025</v>
      </c>
      <c r="M456" s="11">
        <f t="shared" si="50"/>
        <v>18.588245095019907</v>
      </c>
      <c r="N456" s="11">
        <f t="shared" si="51"/>
        <v>5.9999999999999689</v>
      </c>
      <c r="O456" s="11">
        <f t="shared" si="52"/>
        <v>31.999999999999989</v>
      </c>
      <c r="P456" s="11">
        <f t="shared" si="53"/>
        <v>18.588245095019907</v>
      </c>
    </row>
    <row r="457" spans="1:16">
      <c r="A457" s="11">
        <v>455</v>
      </c>
      <c r="B457" s="11">
        <v>6.0000000000000382</v>
      </c>
      <c r="C457" s="11">
        <v>22.588245095020035</v>
      </c>
      <c r="D457" s="11">
        <v>-26.999999999999993</v>
      </c>
      <c r="E457" s="11">
        <v>5.99999999999996</v>
      </c>
      <c r="F457" s="11">
        <v>22.588245095020035</v>
      </c>
      <c r="G457" s="11">
        <v>-31.999999999999993</v>
      </c>
      <c r="J457" s="11">
        <v>455</v>
      </c>
      <c r="K457" s="11">
        <f t="shared" si="48"/>
        <v>6.0000000000000382</v>
      </c>
      <c r="L457" s="11">
        <f t="shared" si="49"/>
        <v>26.999999999999993</v>
      </c>
      <c r="M457" s="11">
        <f t="shared" si="50"/>
        <v>22.588245095020035</v>
      </c>
      <c r="N457" s="11">
        <f t="shared" si="51"/>
        <v>5.99999999999996</v>
      </c>
      <c r="O457" s="11">
        <f t="shared" si="52"/>
        <v>31.999999999999993</v>
      </c>
      <c r="P457" s="11">
        <f t="shared" si="53"/>
        <v>22.588245095020035</v>
      </c>
    </row>
    <row r="458" spans="1:16">
      <c r="A458" s="11">
        <v>456</v>
      </c>
      <c r="B458" s="11">
        <v>6.0000000000000382</v>
      </c>
      <c r="C458" s="11">
        <v>22.588245095020035</v>
      </c>
      <c r="D458" s="11">
        <v>-26.999999999999993</v>
      </c>
      <c r="E458" s="11">
        <v>5.9999999999999476</v>
      </c>
      <c r="F458" s="11">
        <v>22.588245095019825</v>
      </c>
      <c r="G458" s="11">
        <v>-4.9999999999999982</v>
      </c>
      <c r="J458" s="11">
        <v>456</v>
      </c>
      <c r="K458" s="11">
        <f t="shared" si="48"/>
        <v>6.0000000000000382</v>
      </c>
      <c r="L458" s="11">
        <f t="shared" si="49"/>
        <v>26.999999999999993</v>
      </c>
      <c r="M458" s="11">
        <f t="shared" si="50"/>
        <v>22.588245095020035</v>
      </c>
      <c r="N458" s="11">
        <f t="shared" si="51"/>
        <v>5.9999999999999476</v>
      </c>
      <c r="O458" s="11">
        <f t="shared" si="52"/>
        <v>4.9999999999999982</v>
      </c>
      <c r="P458" s="11">
        <f t="shared" si="53"/>
        <v>22.588245095019825</v>
      </c>
    </row>
    <row r="459" spans="1:16">
      <c r="A459" s="11">
        <v>457</v>
      </c>
      <c r="B459" s="11">
        <v>5.9999999999990381</v>
      </c>
      <c r="C459" s="11">
        <v>18.588245095019907</v>
      </c>
      <c r="D459" s="11">
        <v>-26.99999999994025</v>
      </c>
      <c r="E459" s="11">
        <v>5.9999999999990949</v>
      </c>
      <c r="F459" s="11">
        <v>18.58824509502012</v>
      </c>
      <c r="G459" s="11">
        <v>-4.9999999999496145</v>
      </c>
      <c r="J459" s="11">
        <v>457</v>
      </c>
      <c r="K459" s="11">
        <f t="shared" si="48"/>
        <v>5.9999999999990381</v>
      </c>
      <c r="L459" s="11">
        <f t="shared" si="49"/>
        <v>26.99999999994025</v>
      </c>
      <c r="M459" s="11">
        <f t="shared" si="50"/>
        <v>18.588245095019907</v>
      </c>
      <c r="N459" s="11">
        <f t="shared" si="51"/>
        <v>5.9999999999990949</v>
      </c>
      <c r="O459" s="11">
        <f t="shared" si="52"/>
        <v>4.9999999999496145</v>
      </c>
      <c r="P459" s="11">
        <f t="shared" si="53"/>
        <v>18.58824509502012</v>
      </c>
    </row>
  </sheetData>
  <mergeCells count="2">
    <mergeCell ref="K1:M1"/>
    <mergeCell ref="N1:P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2">
    <tabColor theme="0" tint="-0.34998626667073579"/>
  </sheetPr>
  <dimension ref="B2:O10"/>
  <sheetViews>
    <sheetView workbookViewId="0">
      <selection activeCell="C5" sqref="C5"/>
    </sheetView>
  </sheetViews>
  <sheetFormatPr defaultColWidth="9.28515625" defaultRowHeight="15"/>
  <cols>
    <col min="1" max="16384" width="9.28515625" style="11"/>
  </cols>
  <sheetData>
    <row r="2" spans="2:15">
      <c r="B2" s="11" t="s">
        <v>3</v>
      </c>
      <c r="E2" s="11" t="s">
        <v>6</v>
      </c>
      <c r="G2" s="11" t="s">
        <v>24</v>
      </c>
      <c r="J2" s="11" t="s">
        <v>205</v>
      </c>
      <c r="L2" s="11" t="s">
        <v>219</v>
      </c>
      <c r="N2" s="11" t="s">
        <v>218</v>
      </c>
      <c r="O2" s="11" t="s">
        <v>220</v>
      </c>
    </row>
    <row r="4" spans="2:15">
      <c r="E4" s="12" t="s">
        <v>12</v>
      </c>
      <c r="G4" s="11" t="s">
        <v>25</v>
      </c>
      <c r="J4" s="11" t="s">
        <v>206</v>
      </c>
      <c r="L4" s="11" t="s">
        <v>222</v>
      </c>
      <c r="N4" s="11" t="s">
        <v>228</v>
      </c>
      <c r="O4" s="11" t="s">
        <v>225</v>
      </c>
    </row>
    <row r="5" spans="2:15">
      <c r="E5" s="12" t="s">
        <v>13</v>
      </c>
      <c r="G5" s="11" t="s">
        <v>26</v>
      </c>
      <c r="J5" s="11" t="s">
        <v>207</v>
      </c>
      <c r="L5" s="11" t="s">
        <v>271</v>
      </c>
      <c r="N5" s="11" t="s">
        <v>229</v>
      </c>
      <c r="O5" s="11" t="s">
        <v>19</v>
      </c>
    </row>
    <row r="6" spans="2:15">
      <c r="E6" s="12" t="s">
        <v>14</v>
      </c>
      <c r="G6" s="11" t="s">
        <v>27</v>
      </c>
      <c r="N6" s="11" t="s">
        <v>223</v>
      </c>
      <c r="O6" s="11" t="s">
        <v>20</v>
      </c>
    </row>
    <row r="7" spans="2:15">
      <c r="E7" s="12" t="s">
        <v>15</v>
      </c>
      <c r="G7" s="11" t="s">
        <v>28</v>
      </c>
      <c r="O7" s="11" t="s">
        <v>21</v>
      </c>
    </row>
    <row r="8" spans="2:15">
      <c r="E8" s="12" t="s">
        <v>16</v>
      </c>
      <c r="G8" s="11" t="s">
        <v>29</v>
      </c>
      <c r="O8" s="12"/>
    </row>
    <row r="9" spans="2:15">
      <c r="E9" s="12" t="s">
        <v>17</v>
      </c>
      <c r="G9" s="11" t="s">
        <v>30</v>
      </c>
      <c r="O9" s="12"/>
    </row>
    <row r="10" spans="2:15">
      <c r="G10" s="11" t="s">
        <v>31</v>
      </c>
      <c r="O10" s="1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Import Layer Names</vt:lpstr>
      <vt:lpstr>Define Dir</vt:lpstr>
      <vt:lpstr>Restraint Config</vt:lpstr>
      <vt:lpstr>Assign Frame Sections</vt:lpstr>
      <vt:lpstr>Define Points</vt:lpstr>
      <vt:lpstr>Define Load Patterns</vt:lpstr>
      <vt:lpstr>Tubing Database</vt:lpstr>
      <vt:lpstr>ACAD Lines</vt:lpstr>
      <vt:lpstr>List Ref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 Giffin</dc:creator>
  <cp:lastModifiedBy>Brian Giffin</cp:lastModifiedBy>
  <dcterms:created xsi:type="dcterms:W3CDTF">2013-07-20T01:58:07Z</dcterms:created>
  <dcterms:modified xsi:type="dcterms:W3CDTF">2016-11-11T00:04:22Z</dcterms:modified>
</cp:coreProperties>
</file>